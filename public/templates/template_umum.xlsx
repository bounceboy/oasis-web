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ASR\2. ACA\KYIC\"/>
    </mc:Choice>
  </mc:AlternateContent>
  <xr:revisionPtr revIDLastSave="0" documentId="13_ncr:1_{BB05E0BB-CD0B-4947-A072-80982FBF4E67}" xr6:coauthVersionLast="47" xr6:coauthVersionMax="47" xr10:uidLastSave="{00000000-0000-0000-0000-000000000000}"/>
  <bookViews>
    <workbookView xWindow="9510" yWindow="0" windowWidth="9780" windowHeight="11370" activeTab="2" xr2:uid="{00000000-000D-0000-FFFF-FFFF00000000}"/>
  </bookViews>
  <sheets>
    <sheet name="README" sheetId="1" r:id="rId1"/>
    <sheet name="Setup" sheetId="2" r:id="rId2"/>
    <sheet name="Input_SFP" sheetId="3" r:id="rId3"/>
    <sheet name="Input_PL_OCI" sheetId="4" r:id="rId4"/>
    <sheet name="Input_CF" sheetId="5" r:id="rId5"/>
    <sheet name="Input_IFRS17_Detail" sheetId="6" r:id="rId6"/>
    <sheet name="Input_IFRS9_Detail" sheetId="7" r:id="rId7"/>
    <sheet name="Mapping_Akun" sheetId="8" r:id="rId8"/>
    <sheet name="Rasio" sheetId="9" r:id="rId9"/>
    <sheet name="CommonSize_Trend" sheetId="10" r:id="rId10"/>
    <sheet name="IFRS17_Analysis" sheetId="11" r:id="rId11"/>
    <sheet name="IFRS9_Analysis" sheetId="12" r:id="rId12"/>
    <sheet name="Auto_Analysis" sheetId="13" r:id="rId13"/>
    <sheet name="Dashboard" sheetId="14" r:id="rId14"/>
    <sheet name="Validas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3" l="1"/>
  <c r="B3" i="13"/>
  <c r="C9" i="12"/>
  <c r="B9" i="12"/>
  <c r="C7" i="12"/>
  <c r="B7" i="12"/>
  <c r="C11" i="11"/>
  <c r="B11" i="11"/>
  <c r="C3" i="11"/>
  <c r="B3" i="11"/>
  <c r="G6" i="10"/>
  <c r="F6" i="10"/>
  <c r="E6" i="10"/>
  <c r="D6" i="10"/>
  <c r="I6" i="10" s="1"/>
  <c r="C6" i="10"/>
  <c r="H6" i="10" s="1"/>
  <c r="J6" i="10" s="1"/>
  <c r="G3" i="10"/>
  <c r="F3" i="10"/>
  <c r="F26" i="7"/>
  <c r="E25" i="7"/>
  <c r="D25" i="7"/>
  <c r="C8" i="12" s="1"/>
  <c r="C25" i="7"/>
  <c r="F24" i="7"/>
  <c r="F23" i="7"/>
  <c r="F22" i="7"/>
  <c r="F21" i="7"/>
  <c r="F20" i="7"/>
  <c r="F19" i="7"/>
  <c r="F18" i="7"/>
  <c r="F17" i="7"/>
  <c r="E15" i="7"/>
  <c r="D15" i="7"/>
  <c r="C15" i="7"/>
  <c r="F14" i="7"/>
  <c r="F13" i="7"/>
  <c r="F12" i="7"/>
  <c r="F11" i="7"/>
  <c r="F10" i="7"/>
  <c r="F9" i="7"/>
  <c r="E8" i="7"/>
  <c r="F14" i="9" s="1"/>
  <c r="D8" i="7"/>
  <c r="C8" i="7"/>
  <c r="F7" i="7"/>
  <c r="F6" i="7"/>
  <c r="F5" i="7"/>
  <c r="F4" i="7"/>
  <c r="F3" i="7"/>
  <c r="E28" i="6"/>
  <c r="D28" i="6"/>
  <c r="C28" i="6"/>
  <c r="E27" i="6"/>
  <c r="E29" i="6" s="1"/>
  <c r="F6" i="9" s="1"/>
  <c r="D27" i="6"/>
  <c r="D29" i="6" s="1"/>
  <c r="E6" i="9" s="1"/>
  <c r="C6" i="11" s="1"/>
  <c r="C27" i="6"/>
  <c r="E26" i="6"/>
  <c r="F8" i="9" s="1"/>
  <c r="D26" i="6"/>
  <c r="E8" i="9" s="1"/>
  <c r="C8" i="11" s="1"/>
  <c r="C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1" i="6"/>
  <c r="F10" i="6"/>
  <c r="E9" i="6"/>
  <c r="E12" i="6" s="1"/>
  <c r="D9" i="6"/>
  <c r="C9" i="6"/>
  <c r="F8" i="6"/>
  <c r="F7" i="6"/>
  <c r="F6" i="6"/>
  <c r="F5" i="6"/>
  <c r="F4" i="6"/>
  <c r="F3" i="6"/>
  <c r="F7" i="5"/>
  <c r="E6" i="5"/>
  <c r="E8" i="5" s="1"/>
  <c r="F16" i="9" s="1"/>
  <c r="D6" i="5"/>
  <c r="D8" i="5" s="1"/>
  <c r="E16" i="9" s="1"/>
  <c r="C6" i="12" s="1"/>
  <c r="C6" i="5"/>
  <c r="F5" i="5"/>
  <c r="F4" i="5"/>
  <c r="F3" i="5"/>
  <c r="E22" i="4"/>
  <c r="D22" i="4"/>
  <c r="C22" i="4"/>
  <c r="E20" i="4"/>
  <c r="D20" i="4"/>
  <c r="C20" i="4"/>
  <c r="F19" i="4"/>
  <c r="F18" i="4"/>
  <c r="F17" i="4"/>
  <c r="F15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E6" i="4"/>
  <c r="D6" i="4"/>
  <c r="C6" i="4"/>
  <c r="G5" i="4"/>
  <c r="F5" i="4"/>
  <c r="G4" i="4"/>
  <c r="F4" i="4"/>
  <c r="G3" i="4"/>
  <c r="F3" i="4"/>
  <c r="E34" i="3"/>
  <c r="D34" i="3"/>
  <c r="C34" i="3"/>
  <c r="F33" i="3"/>
  <c r="F32" i="3"/>
  <c r="F31" i="3"/>
  <c r="F30" i="3"/>
  <c r="F29" i="3"/>
  <c r="F28" i="3"/>
  <c r="F27" i="3"/>
  <c r="E26" i="3"/>
  <c r="D26" i="3"/>
  <c r="C26" i="3"/>
  <c r="F25" i="3"/>
  <c r="F24" i="3"/>
  <c r="F23" i="3"/>
  <c r="F22" i="3"/>
  <c r="F21" i="3"/>
  <c r="F20" i="3"/>
  <c r="F19" i="3"/>
  <c r="E18" i="3"/>
  <c r="E3" i="10" s="1"/>
  <c r="D18" i="3"/>
  <c r="D3" i="10" s="1"/>
  <c r="I3" i="10" s="1"/>
  <c r="C18" i="3"/>
  <c r="F17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E9" i="12" l="1"/>
  <c r="D9" i="12"/>
  <c r="D7" i="12"/>
  <c r="E7" i="12"/>
  <c r="E11" i="11"/>
  <c r="D11" i="11"/>
  <c r="D3" i="11"/>
  <c r="E3" i="11"/>
  <c r="B8" i="12"/>
  <c r="F25" i="7"/>
  <c r="E16" i="7"/>
  <c r="E12" i="10"/>
  <c r="F13" i="9"/>
  <c r="E13" i="9"/>
  <c r="D16" i="7"/>
  <c r="D12" i="10"/>
  <c r="C4" i="12"/>
  <c r="F15" i="7"/>
  <c r="C16" i="7"/>
  <c r="F16" i="7" s="1"/>
  <c r="C12" i="10"/>
  <c r="D13" i="9"/>
  <c r="B4" i="12"/>
  <c r="B11" i="15"/>
  <c r="C11" i="15" s="1"/>
  <c r="E14" i="9"/>
  <c r="C3" i="12"/>
  <c r="F8" i="7"/>
  <c r="B15" i="15"/>
  <c r="C15" i="15" s="1"/>
  <c r="B10" i="13"/>
  <c r="B10" i="15"/>
  <c r="C10" i="15" s="1"/>
  <c r="B3" i="12"/>
  <c r="B16" i="13"/>
  <c r="B15" i="14" s="1"/>
  <c r="D14" i="9"/>
  <c r="G14" i="9" s="1"/>
  <c r="F5" i="9"/>
  <c r="E9" i="10" s="1"/>
  <c r="E30" i="6"/>
  <c r="F7" i="9" s="1"/>
  <c r="E10" i="10" s="1"/>
  <c r="D30" i="6"/>
  <c r="E7" i="9" s="1"/>
  <c r="E5" i="9"/>
  <c r="D5" i="9"/>
  <c r="F28" i="6"/>
  <c r="C29" i="6"/>
  <c r="F27" i="6"/>
  <c r="B8" i="15"/>
  <c r="C8" i="15" s="1"/>
  <c r="F26" i="6"/>
  <c r="D8" i="9"/>
  <c r="D12" i="6"/>
  <c r="C4" i="11"/>
  <c r="C12" i="6"/>
  <c r="B4" i="11"/>
  <c r="F9" i="6"/>
  <c r="B6" i="15"/>
  <c r="C6" i="15" s="1"/>
  <c r="F6" i="5"/>
  <c r="C8" i="5"/>
  <c r="G22" i="4"/>
  <c r="G19" i="4"/>
  <c r="G18" i="4"/>
  <c r="G17" i="4"/>
  <c r="G15" i="4"/>
  <c r="F22" i="4"/>
  <c r="F20" i="4"/>
  <c r="G20" i="4"/>
  <c r="E14" i="4"/>
  <c r="E16" i="4" s="1"/>
  <c r="E7" i="10"/>
  <c r="D14" i="4"/>
  <c r="D16" i="4" s="1"/>
  <c r="D7" i="10"/>
  <c r="G6" i="4"/>
  <c r="C7" i="10"/>
  <c r="C14" i="4"/>
  <c r="F6" i="4"/>
  <c r="E31" i="6"/>
  <c r="F9" i="9" s="1"/>
  <c r="E11" i="10" s="1"/>
  <c r="E32" i="6"/>
  <c r="F10" i="9" s="1"/>
  <c r="E5" i="10"/>
  <c r="D32" i="6"/>
  <c r="E10" i="9" s="1"/>
  <c r="C10" i="11" s="1"/>
  <c r="D31" i="6"/>
  <c r="E9" i="9" s="1"/>
  <c r="D5" i="10"/>
  <c r="C31" i="6"/>
  <c r="C32" i="6"/>
  <c r="F34" i="3"/>
  <c r="G34" i="3"/>
  <c r="F3" i="14"/>
  <c r="C5" i="10"/>
  <c r="F11" i="9"/>
  <c r="F12" i="9"/>
  <c r="E35" i="3"/>
  <c r="E4" i="10"/>
  <c r="E11" i="9"/>
  <c r="D35" i="3"/>
  <c r="E12" i="9"/>
  <c r="D4" i="10"/>
  <c r="D12" i="9"/>
  <c r="G12" i="9" s="1"/>
  <c r="D3" i="14"/>
  <c r="G26" i="3"/>
  <c r="C35" i="3"/>
  <c r="D11" i="9"/>
  <c r="G11" i="9" s="1"/>
  <c r="C4" i="10"/>
  <c r="F26" i="3"/>
  <c r="B3" i="15"/>
  <c r="C3" i="15" s="1"/>
  <c r="G20" i="3"/>
  <c r="G19" i="3"/>
  <c r="F18" i="3"/>
  <c r="G25" i="3"/>
  <c r="G30" i="3"/>
  <c r="G23" i="3"/>
  <c r="G27" i="3"/>
  <c r="G22" i="3"/>
  <c r="G17" i="3"/>
  <c r="B3" i="14"/>
  <c r="B12" i="15"/>
  <c r="C12" i="15" s="1"/>
  <c r="G28" i="3"/>
  <c r="G16" i="3"/>
  <c r="G31" i="3"/>
  <c r="G32" i="3"/>
  <c r="B17" i="13"/>
  <c r="B16" i="14" s="1"/>
  <c r="G29" i="3"/>
  <c r="G33" i="3"/>
  <c r="B7" i="13"/>
  <c r="C3" i="10"/>
  <c r="H3" i="10" s="1"/>
  <c r="J3" i="10" s="1"/>
  <c r="G21" i="3"/>
  <c r="G24" i="3"/>
  <c r="G18" i="3"/>
  <c r="D8" i="12" l="1"/>
  <c r="E8" i="12"/>
  <c r="I12" i="10"/>
  <c r="G12" i="10"/>
  <c r="F12" i="10"/>
  <c r="H12" i="10"/>
  <c r="J12" i="10" s="1"/>
  <c r="G13" i="9"/>
  <c r="J6" i="14"/>
  <c r="D4" i="12"/>
  <c r="E4" i="12"/>
  <c r="D3" i="12"/>
  <c r="E3" i="12"/>
  <c r="D10" i="10"/>
  <c r="I10" i="10" s="1"/>
  <c r="G10" i="10"/>
  <c r="C7" i="11"/>
  <c r="C5" i="11"/>
  <c r="D9" i="10"/>
  <c r="I9" i="10" s="1"/>
  <c r="G9" i="10"/>
  <c r="C9" i="10"/>
  <c r="H9" i="10" s="1"/>
  <c r="J9" i="10" s="1"/>
  <c r="F9" i="10"/>
  <c r="G5" i="9"/>
  <c r="B5" i="11"/>
  <c r="F29" i="6"/>
  <c r="D6" i="9"/>
  <c r="B9" i="13"/>
  <c r="B8" i="11"/>
  <c r="G8" i="9"/>
  <c r="H6" i="14"/>
  <c r="F12" i="6"/>
  <c r="B7" i="15"/>
  <c r="C7" i="15" s="1"/>
  <c r="D4" i="11"/>
  <c r="E4" i="11"/>
  <c r="F8" i="5"/>
  <c r="B4" i="15"/>
  <c r="C4" i="15" s="1"/>
  <c r="D16" i="9"/>
  <c r="E21" i="4"/>
  <c r="F3" i="9"/>
  <c r="F4" i="9"/>
  <c r="F15" i="9"/>
  <c r="E8" i="10"/>
  <c r="E15" i="9"/>
  <c r="C5" i="12" s="1"/>
  <c r="D8" i="10"/>
  <c r="D21" i="4"/>
  <c r="E3" i="9"/>
  <c r="E4" i="9"/>
  <c r="G7" i="10"/>
  <c r="I7" i="10"/>
  <c r="F7" i="10"/>
  <c r="H7" i="10"/>
  <c r="J7" i="10" s="1"/>
  <c r="G14" i="4"/>
  <c r="F14" i="4"/>
  <c r="C16" i="4"/>
  <c r="G8" i="5" s="1"/>
  <c r="C9" i="11"/>
  <c r="D11" i="10"/>
  <c r="I11" i="10" s="1"/>
  <c r="G11" i="10"/>
  <c r="G5" i="10"/>
  <c r="I5" i="10"/>
  <c r="F31" i="6"/>
  <c r="D9" i="9"/>
  <c r="F32" i="6"/>
  <c r="D10" i="9"/>
  <c r="F5" i="10"/>
  <c r="H5" i="10"/>
  <c r="J5" i="10" s="1"/>
  <c r="G4" i="10"/>
  <c r="I4" i="10"/>
  <c r="F35" i="3"/>
  <c r="G35" i="3"/>
  <c r="F4" i="10"/>
  <c r="H4" i="10"/>
  <c r="J4" i="10" s="1"/>
  <c r="C30" i="6"/>
  <c r="B9" i="15"/>
  <c r="C9" i="15" s="1"/>
  <c r="B15" i="13"/>
  <c r="B14" i="14" s="1"/>
  <c r="B14" i="15"/>
  <c r="C14" i="15" s="1"/>
  <c r="D5" i="11" l="1"/>
  <c r="E5" i="11"/>
  <c r="G6" i="9"/>
  <c r="B6" i="11"/>
  <c r="E8" i="11"/>
  <c r="D8" i="11"/>
  <c r="G16" i="9"/>
  <c r="B6" i="12"/>
  <c r="B18" i="13"/>
  <c r="B17" i="14" s="1"/>
  <c r="G8" i="10"/>
  <c r="I8" i="10"/>
  <c r="B13" i="15"/>
  <c r="C13" i="15" s="1"/>
  <c r="G6" i="5"/>
  <c r="C21" i="4"/>
  <c r="G4" i="5"/>
  <c r="H3" i="14"/>
  <c r="F16" i="4"/>
  <c r="B8" i="13"/>
  <c r="G5" i="5"/>
  <c r="D15" i="9"/>
  <c r="C8" i="10"/>
  <c r="G3" i="5"/>
  <c r="D4" i="9"/>
  <c r="D3" i="9"/>
  <c r="G16" i="4"/>
  <c r="G7" i="5"/>
  <c r="G9" i="9"/>
  <c r="C11" i="10"/>
  <c r="H11" i="10" s="1"/>
  <c r="J11" i="10" s="1"/>
  <c r="F11" i="10"/>
  <c r="B9" i="11"/>
  <c r="G10" i="9"/>
  <c r="B10" i="11"/>
  <c r="D7" i="9"/>
  <c r="F30" i="6"/>
  <c r="E6" i="11" l="1"/>
  <c r="D6" i="11"/>
  <c r="D6" i="12"/>
  <c r="E6" i="12"/>
  <c r="F21" i="4"/>
  <c r="B5" i="15"/>
  <c r="C5" i="15" s="1"/>
  <c r="G21" i="4"/>
  <c r="J3" i="14"/>
  <c r="G15" i="9"/>
  <c r="B5" i="12"/>
  <c r="B11" i="13"/>
  <c r="F8" i="10"/>
  <c r="H8" i="10"/>
  <c r="J8" i="10" s="1"/>
  <c r="G4" i="9"/>
  <c r="D6" i="14"/>
  <c r="G3" i="9"/>
  <c r="B6" i="14"/>
  <c r="B5" i="13"/>
  <c r="A10" i="14" s="1"/>
  <c r="E9" i="11"/>
  <c r="D9" i="11"/>
  <c r="D10" i="11"/>
  <c r="E10" i="11"/>
  <c r="F6" i="14"/>
  <c r="C10" i="10"/>
  <c r="H10" i="10" s="1"/>
  <c r="J10" i="10" s="1"/>
  <c r="F10" i="10"/>
  <c r="B7" i="11"/>
  <c r="G7" i="9"/>
  <c r="B12" i="13"/>
  <c r="F10" i="14" s="1"/>
  <c r="D5" i="12" l="1"/>
  <c r="E5" i="12"/>
  <c r="E7" i="11"/>
  <c r="D7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Isi angka tahun berjalan dari audited report. Sel kuning = input user.</t>
        </r>
      </text>
    </comment>
    <comment ref="D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Isi angka pembanding 1.</t>
        </r>
      </text>
    </comment>
    <comment ref="E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Isi angka pembanding 2 jika tersedia.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Isi angka tahun berjalan dari audited report. Sel kuning = input user.</t>
        </r>
      </text>
    </comment>
    <comment ref="D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Isi angka pembanding 1.</t>
        </r>
      </text>
    </comment>
    <comment ref="E2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Isi angka pembanding 2 jika tersedia.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Isi angka tahun berjalan dari audited report. Sel kuning = input user.</t>
        </r>
      </text>
    </comment>
    <comment ref="D2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Isi angka pembanding 1.</t>
        </r>
      </text>
    </comment>
    <comment ref="E2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Isi angka pembanding 2 jika tersedia.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Isi angka tahun berjalan dari audited report. Sel kuning = input user.</t>
        </r>
      </text>
    </comment>
    <comment ref="D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Isi angka pembanding 1.</t>
        </r>
      </text>
    </comment>
    <comment ref="E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Isi angka pembanding 2 jika tersedia.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2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Isi angka tahun berjalan dari audited report. Sel kuning = input user.</t>
        </r>
      </text>
    </comment>
    <comment ref="D2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Isi angka pembanding 1.</t>
        </r>
      </text>
    </comment>
    <comment ref="E2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Isi angka pembanding 2 jika tersedia.</t>
        </r>
      </text>
    </comment>
  </commentList>
</comments>
</file>

<file path=xl/sharedStrings.xml><?xml version="1.0" encoding="utf-8"?>
<sst xmlns="http://schemas.openxmlformats.org/spreadsheetml/2006/main" count="800" uniqueCount="434">
  <si>
    <t>TEMPLATE ANALISIS LK ASURANSI UMUM – IFRS 9 / IFRS 17 (VERSI KONVERSI)</t>
  </si>
  <si>
    <t>Tujuan</t>
  </si>
  <si>
    <t>Template ini dibuat untuk audited report perusahaan asuransi umum yang menyusun laporan berdasarkan IFRS 9 / PSAK 109 dan IFRS 17 / PSAK 117. Struktur dibuat generik sehingga pengguna cukup memetakan akun audited report ke baris input yang paling sesuai.</t>
  </si>
  <si>
    <t>Cakupan</t>
  </si>
  <si>
    <t>Mencakup entitas asuransi umum konvensional, syariah, atau campuran. Fokus utama pada underwriting result, loss ratio, expense ratio, combined ratio, cadangan klaim, dan ketergantungan reasuransi.</t>
  </si>
  <si>
    <t>Cara pakai ringkas</t>
  </si>
  <si>
    <t>1) Isi Setup. 2) Isi sel kuning pada Input_SFP, Input_PL_OCI, Input_CF, Input_IFRS17_Detail, dan Input_IFRS9_Detail. 3) Gunakan Mapping_Akun untuk memetakan akun audited report. 4) Review Dashboard, Rasio, CommonSize_Trend, IFRS17_Analysis, IFRS9_Analysis, Auto_Analysis, dan Validasi.</t>
  </si>
  <si>
    <t>Prinsip desain</t>
  </si>
  <si>
    <t>Template menggunakan akun standar lintas perusahaan, bukan nama akun spesifik emiten. Pos yang tidak ada boleh dibiarkan kosong. Baris opsional tersedia untuk variasi penyajian antar perusahaan.</t>
  </si>
  <si>
    <t>IFRS 17 – fokus utama</t>
  </si>
  <si>
    <t>Insurance revenue, gross claims incurred, reinsurance recoveries, acquisition cost amortisation, underwriting expenses, onerous result, LRC, LIC, outstanding claims reserve, IBNR, risk adjustment, retention ratio, dan combined ratio.</t>
  </si>
  <si>
    <t>IFRS 9 – fokus utama</t>
  </si>
  <si>
    <t>Klasifikasi FVTPL/FVOCI/Amortised Cost, ECL Stage 1–3, coverage, cadangan FVOCI, fair value movement, dan yield investasi.</t>
  </si>
  <si>
    <t>Keluaran otomatis</t>
  </si>
  <si>
    <t>Rasio profitabilitas, leverage, likuiditas, loss ratio, expense ratio, combined ratio, retention ratio, reserve leverage, common size, trend 3 tahun, analisis IFRS 17, analisis IFRS 9, validasi konsistensi, executive summary otomatis, dan dashboard ringkas.</t>
  </si>
  <si>
    <t>Catatan penting</t>
  </si>
  <si>
    <t>Template ini adalah alat analisis otomatis. Untuk keputusan profesional, tetap kombinasikan dengan pembacaan catatan atas laporan keuangan, RBC/solvency disclosure regulator, kecukupan cadangan, kualitas reasuransi, dan strategi distribusi.</t>
  </si>
  <si>
    <t>Definisi 'berlaku untuk seluruh asuransi jiwa'</t>
  </si>
  <si>
    <t>Artinya format input dan analisis ini dirancang generik untuk hampir seluruh audited report asuransi umum yang memakai IFRS 9/17; namun user tetap perlu memetakan akun audited report ke akun template karena detail disclosure tiap perusahaan dapat berbeda.</t>
  </si>
  <si>
    <t>Sel yang diisi user</t>
  </si>
  <si>
    <t>Semua sel kuning adalah input user/hardcode.</t>
  </si>
  <si>
    <t>Sel formula</t>
  </si>
  <si>
    <t>Semua sel putih berisi formula dan tidak perlu diubah.</t>
  </si>
  <si>
    <t>SETUP, PARAMETER, DAN BENCHMARK</t>
  </si>
  <si>
    <t>Parameter</t>
  </si>
  <si>
    <t>Nilai</t>
  </si>
  <si>
    <t>Nama perusahaan</t>
  </si>
  <si>
    <t>&lt;isi nama perusahaan&gt;</t>
  </si>
  <si>
    <t>Mata uang / unit</t>
  </si>
  <si>
    <t>IDR (jutaan / miliar sesuai audited report)</t>
  </si>
  <si>
    <t>Tahun berjalan</t>
  </si>
  <si>
    <t>Tahun pembanding 1</t>
  </si>
  <si>
    <t>Tahun pembanding 2</t>
  </si>
  <si>
    <t>Jenis entitas</t>
  </si>
  <si>
    <t>Konvensional / syariah / campuran</t>
  </si>
  <si>
    <t>Lini utama</t>
  </si>
  <si>
    <t>Asuransi umum</t>
  </si>
  <si>
    <t>Basis standar</t>
  </si>
  <si>
    <t>IFRS 9 / PSAK 109 dan IFRS 17 / PSAK 117</t>
  </si>
  <si>
    <t>Catatan user</t>
  </si>
  <si>
    <t>Ubah hanya sel kuning</t>
  </si>
  <si>
    <t>LIKUIDITAS minimum</t>
  </si>
  <si>
    <t>LEVERAGE max (Liabilities/Equity)</t>
  </si>
  <si>
    <t>ROA minimum</t>
  </si>
  <si>
    <t>ROE minimum</t>
  </si>
  <si>
    <t>Net loss ratio maksimum</t>
  </si>
  <si>
    <t>Expense ratio maksimum</t>
  </si>
  <si>
    <t>Combined ratio maksimum</t>
  </si>
  <si>
    <t>Retention ratio minimum</t>
  </si>
  <si>
    <t>ECL coverage minimum</t>
  </si>
  <si>
    <t>Stage 2+3 exposure maksimum</t>
  </si>
  <si>
    <t>OCF / Profit minimum</t>
  </si>
  <si>
    <t>Reserve leverage maksimum</t>
  </si>
  <si>
    <t>INPUT STATEMENT OF FINANCIAL POSITION / LAPORAN POSISI KEUANGAN</t>
  </si>
  <si>
    <t>Kelompok</t>
  </si>
  <si>
    <t>Akun standar IFRS 9 / IFRS 17</t>
  </si>
  <si>
    <t>Pembanding 1</t>
  </si>
  <si>
    <t>Pembanding 2</t>
  </si>
  <si>
    <t>Growth vs PY</t>
  </si>
  <si>
    <t>Common size CY</t>
  </si>
  <si>
    <t>Wajib / Opsional</t>
  </si>
  <si>
    <t>ASET</t>
  </si>
  <si>
    <t>Kas dan setara kas</t>
  </si>
  <si>
    <t>Penting</t>
  </si>
  <si>
    <t>Penempatan jangka pendek / pasar uang</t>
  </si>
  <si>
    <t>Opsional</t>
  </si>
  <si>
    <t>Investasi pada FVTPL</t>
  </si>
  <si>
    <t>Investasi utang pada FVOCI</t>
  </si>
  <si>
    <t>Investasi ekuitas pada FVOCI</t>
  </si>
  <si>
    <t>Investasi pada biaya perolehan diamortisasi</t>
  </si>
  <si>
    <t>Properti investasi</t>
  </si>
  <si>
    <t>Piutang premi, piutang klaim, piutang reasuransi, dan piutang lain-lain</t>
  </si>
  <si>
    <t>Aset klaim / salvage / subrogasi dan aset lain-lain underwriting</t>
  </si>
  <si>
    <t>Aset kontrak reasuransi</t>
  </si>
  <si>
    <t>Aset akuisisi asuransi / acquisition cash flow asset</t>
  </si>
  <si>
    <t>Aset tetap, ROU, dan properti yang digunakan sendiri</t>
  </si>
  <si>
    <t>Aset takberwujud</t>
  </si>
  <si>
    <t>Aset pajak kini/deferred tax asset</t>
  </si>
  <si>
    <t>Aset lain-lain</t>
  </si>
  <si>
    <t>TOTAL ASET</t>
  </si>
  <si>
    <t>Formula</t>
  </si>
  <si>
    <t>LIABILITAS</t>
  </si>
  <si>
    <t>Liabilitas kontrak asuransi</t>
  </si>
  <si>
    <t>Liabilitas kontrak reasuransi</t>
  </si>
  <si>
    <t>Liabilitas komponen investasi / deposit component liabilities</t>
  </si>
  <si>
    <t>Utang klaim, utang reasuransi, utang komisi, dan utang broker</t>
  </si>
  <si>
    <t>Utang pajak kini/deferred tax liability</t>
  </si>
  <si>
    <t>Liabilitas sewa dan pinjaman</t>
  </si>
  <si>
    <t>Liabilitas lain-lain</t>
  </si>
  <si>
    <t>TOTAL LIABILITAS</t>
  </si>
  <si>
    <t>DANA PESERTA</t>
  </si>
  <si>
    <t>Dana tabarru / dana peserta (opsional untuk syariah)</t>
  </si>
  <si>
    <t>EKUITAS</t>
  </si>
  <si>
    <t>Modal saham</t>
  </si>
  <si>
    <t>Tambahan modal disetor</t>
  </si>
  <si>
    <t>Saldo laba</t>
  </si>
  <si>
    <t>Cadangan FVOCI / fair value reserve</t>
  </si>
  <si>
    <t>Cadangan insurance finance OCI</t>
  </si>
  <si>
    <t>Cadangan OCI dan cadangan lain-lain</t>
  </si>
  <si>
    <t>TOTAL EKUITAS</t>
  </si>
  <si>
    <t>KONTROL</t>
  </si>
  <si>
    <t>TOTAL LIAB + DANA PESERTA + EKUITAS</t>
  </si>
  <si>
    <t>INPUT PROFIT OR LOSS &amp; OTHER COMPREHENSIVE INCOME – ASURANSI UMUM</t>
  </si>
  <si>
    <t>Akun standar</t>
  </si>
  <si>
    <t>Margin / Ratio CY</t>
  </si>
  <si>
    <t>HASIL JASA ASURANSI</t>
  </si>
  <si>
    <t>Insurance revenue</t>
  </si>
  <si>
    <t>Insurance service expense (claims + attributable expenses)</t>
  </si>
  <si>
    <t>Net expense/(income) from reinsurance/retrocession contracts held</t>
  </si>
  <si>
    <t>INSURANCE SERVICE RESULT</t>
  </si>
  <si>
    <t>INVESTASI &amp; KEUANGAN</t>
  </si>
  <si>
    <t>Net investment result / investment income - net</t>
  </si>
  <si>
    <t>Insurance finance income/(expense) from contracts issued</t>
  </si>
  <si>
    <t>Insurance finance income/(expense) from reinsurance held</t>
  </si>
  <si>
    <t>Net impairment gain/(loss) on financial assets</t>
  </si>
  <si>
    <t>Fee, brokerage, and other operating income</t>
  </si>
  <si>
    <t>BEBAN</t>
  </si>
  <si>
    <t>Operating expenses outside insurance service expense</t>
  </si>
  <si>
    <t>Finance costs and other non-operating items</t>
  </si>
  <si>
    <t>LABA</t>
  </si>
  <si>
    <t>PROFIT BEFORE TAX</t>
  </si>
  <si>
    <t>Income tax expense</t>
  </si>
  <si>
    <t>PROFIT FOR THE YEAR</t>
  </si>
  <si>
    <t>OCI</t>
  </si>
  <si>
    <t>OCI - FVOCI reserve movement</t>
  </si>
  <si>
    <t>OCI - insurance finance OCI</t>
  </si>
  <si>
    <t>OCI - other OCI</t>
  </si>
  <si>
    <t>TOTAL OCI</t>
  </si>
  <si>
    <t>TOTAL COMPREHENSIVE INCOME</t>
  </si>
  <si>
    <t>TOTAL INCOME (MANAGEMENT VIEW)</t>
  </si>
  <si>
    <t>INPUT STATEMENT OF CASH FLOWS</t>
  </si>
  <si>
    <t>Akun</t>
  </si>
  <si>
    <t>Ratio CY</t>
  </si>
  <si>
    <t>Catatan</t>
  </si>
  <si>
    <t>OPERASI</t>
  </si>
  <si>
    <t>Net cash from/(used in) operating activities</t>
  </si>
  <si>
    <t>INVESTASI</t>
  </si>
  <si>
    <t>Net cash from/(used in) investing activities</t>
  </si>
  <si>
    <t>PENDANAAN</t>
  </si>
  <si>
    <t>Net cash from/(used in) financing activities</t>
  </si>
  <si>
    <t>NETO</t>
  </si>
  <si>
    <t>Net increase/(decrease) in cash</t>
  </si>
  <si>
    <t>SALDO</t>
  </si>
  <si>
    <t>Cash and cash equivalents at beginning of year</t>
  </si>
  <si>
    <t>Cash and cash equivalents at end of year</t>
  </si>
  <si>
    <t>INPUT DETAIL IFRS 17 / PSAK 117 – ASURANSI UMUM</t>
  </si>
  <si>
    <t>Blok</t>
  </si>
  <si>
    <t>Metrik</t>
  </si>
  <si>
    <t>Fokus / rasio</t>
  </si>
  <si>
    <t>Portofolio / kelompok</t>
  </si>
  <si>
    <t>Hasil jasa</t>
  </si>
  <si>
    <t>Insurance revenue total</t>
  </si>
  <si>
    <t>Skala</t>
  </si>
  <si>
    <t>Gross claims incurred</t>
  </si>
  <si>
    <t>Klaim bruto</t>
  </si>
  <si>
    <t>Reinsurance recoveries / gains related to claims (input positif bila memulihkan klaim)</t>
  </si>
  <si>
    <t>Proteksi reasuransi</t>
  </si>
  <si>
    <t>Acquisition cash flow amortisation / commissions in service expense</t>
  </si>
  <si>
    <t>Akuisisi</t>
  </si>
  <si>
    <t>Other directly attributable underwriting expenses</t>
  </si>
  <si>
    <t>Biaya underwriting</t>
  </si>
  <si>
    <t>Losses on onerous contracts and reversals</t>
  </si>
  <si>
    <t>Onerous</t>
  </si>
  <si>
    <t>Margin</t>
  </si>
  <si>
    <t>Keuangan</t>
  </si>
  <si>
    <t>Insurance finance income/(expense) - contracts issued</t>
  </si>
  <si>
    <t>Volatilitas</t>
  </si>
  <si>
    <t>Insurance finance income/(expense) - reinsurance held</t>
  </si>
  <si>
    <t>Offset</t>
  </si>
  <si>
    <t>INSURANCE RESULT AFTER FINANCE</t>
  </si>
  <si>
    <t>Result</t>
  </si>
  <si>
    <t>Posisi keuangan</t>
  </si>
  <si>
    <t>Insurance contract liabilities</t>
  </si>
  <si>
    <t>Kewajiban</t>
  </si>
  <si>
    <t>Reinsurance contract assets</t>
  </si>
  <si>
    <t>Aset reasuransi</t>
  </si>
  <si>
    <t>Reinsurance contract liabilities</t>
  </si>
  <si>
    <t>Liabilitas reasuransi</t>
  </si>
  <si>
    <t>Liability for remaining coverage (LRC) excl. loss component</t>
  </si>
  <si>
    <t>LRC</t>
  </si>
  <si>
    <t>Liability for incurred claims (LIC)</t>
  </si>
  <si>
    <t>LIC</t>
  </si>
  <si>
    <t>Loss component</t>
  </si>
  <si>
    <t>Risk adjustment for non-financial risk</t>
  </si>
  <si>
    <t>RA</t>
  </si>
  <si>
    <t>Cadangan</t>
  </si>
  <si>
    <t>Outstanding claims reserve / case reserve</t>
  </si>
  <si>
    <t>OCR</t>
  </si>
  <si>
    <t>IBNR reserve</t>
  </si>
  <si>
    <t>IBNR</t>
  </si>
  <si>
    <t>Aset terkait</t>
  </si>
  <si>
    <t>Acquisition cash flow asset / DAC (jika disajikan terpisah)</t>
  </si>
  <si>
    <t>DAC</t>
  </si>
  <si>
    <t>Reasuransi</t>
  </si>
  <si>
    <t>Ceded share of reserves / reinsurance recoverables on LIC</t>
  </si>
  <si>
    <t>Proteksi cadangan</t>
  </si>
  <si>
    <t>Manajemen</t>
  </si>
  <si>
    <t>Gross written premium / GWP equivalent (management metric)</t>
  </si>
  <si>
    <t>Skala bruto</t>
  </si>
  <si>
    <t>Net written premium / NWP equivalent (management metric)</t>
  </si>
  <si>
    <t>Skala neto</t>
  </si>
  <si>
    <t>Rasio bantu</t>
  </si>
  <si>
    <t>Retention ratio</t>
  </si>
  <si>
    <t>Retensi</t>
  </si>
  <si>
    <t>Underwriting expenses total</t>
  </si>
  <si>
    <t>Net loss ratio</t>
  </si>
  <si>
    <t>Klaim neto</t>
  </si>
  <si>
    <t>Expense ratio</t>
  </si>
  <si>
    <t>Efisiensi</t>
  </si>
  <si>
    <t>Combined ratio</t>
  </si>
  <si>
    <t>Profit underwriting</t>
  </si>
  <si>
    <t>Reserve leverage</t>
  </si>
  <si>
    <t>Cadangan vs ekuitas</t>
  </si>
  <si>
    <t>Reinsurance asset / equity</t>
  </si>
  <si>
    <t>Ketergantungan reasuransi</t>
  </si>
  <si>
    <t>INPUT DETAIL IFRS 9 / PSAK 109</t>
  </si>
  <si>
    <t>Klasifikasi</t>
  </si>
  <si>
    <t>Stage</t>
  </si>
  <si>
    <t>Coverage / Ratio</t>
  </si>
  <si>
    <t>Aset keuangan</t>
  </si>
  <si>
    <t>FVTPL carrying amount</t>
  </si>
  <si>
    <t>FVTPL</t>
  </si>
  <si>
    <t>FVOCI debt instruments carrying amount</t>
  </si>
  <si>
    <t>FVOCI</t>
  </si>
  <si>
    <t>FVOCI equity instruments carrying amount</t>
  </si>
  <si>
    <t>Amortised cost debt instruments carrying amount</t>
  </si>
  <si>
    <t>AC</t>
  </si>
  <si>
    <t>Loans and receivables carrying amount</t>
  </si>
  <si>
    <t>ECL</t>
  </si>
  <si>
    <t>TOTAL financial assets subject to ECL</t>
  </si>
  <si>
    <t>AC/FVOCI</t>
  </si>
  <si>
    <t>Stage 1 gross exposure</t>
  </si>
  <si>
    <t>Stage 1</t>
  </si>
  <si>
    <t>Stage 2 gross exposure</t>
  </si>
  <si>
    <t>Stage 2</t>
  </si>
  <si>
    <t>Stage 3 gross exposure</t>
  </si>
  <si>
    <t>Stage 3</t>
  </si>
  <si>
    <t>Stage 1 allowance</t>
  </si>
  <si>
    <t>Stage 2 allowance</t>
  </si>
  <si>
    <t>Stage 3 allowance</t>
  </si>
  <si>
    <t>TOTAL allowance ECL</t>
  </si>
  <si>
    <t>All</t>
  </si>
  <si>
    <t>Coverage on ECL assets</t>
  </si>
  <si>
    <t>Kualitas aset</t>
  </si>
  <si>
    <t>Low credit risk exposure</t>
  </si>
  <si>
    <t>Credit-impaired exposure</t>
  </si>
  <si>
    <t>Write-offs during year</t>
  </si>
  <si>
    <t>Recovery of written-off assets</t>
  </si>
  <si>
    <t>FVOCI reserve closing</t>
  </si>
  <si>
    <t>P/L</t>
  </si>
  <si>
    <t>Fair value gain/(loss) on FVTPL recognised in P/L</t>
  </si>
  <si>
    <t>Investment income on financial assets</t>
  </si>
  <si>
    <t>Average investment assets</t>
  </si>
  <si>
    <t>Portfolio yield</t>
  </si>
  <si>
    <t>Sensitivitas</t>
  </si>
  <si>
    <t>Interest rate duration / sensitivity (years)</t>
  </si>
  <si>
    <t>MAPPING AKUN STANDAR IFRS 9 / IFRS 17 UNTUK AUDITED REPORT ASURANSI UMUM</t>
  </si>
  <si>
    <t>Akun standar template</t>
  </si>
  <si>
    <t>Contoh nama akun pada audited report</t>
  </si>
  <si>
    <t>Standar utama</t>
  </si>
  <si>
    <t>Sheet input</t>
  </si>
  <si>
    <t>SFP</t>
  </si>
  <si>
    <t>Reinsurance contract assets / aset reasuransi</t>
  </si>
  <si>
    <t>IFRS 17</t>
  </si>
  <si>
    <t>Input_SFP</t>
  </si>
  <si>
    <t>Posisi neraca reasuransi ceded</t>
  </si>
  <si>
    <t>Insurance contract liabilities / liabilitas kontrak asuransi</t>
  </si>
  <si>
    <t>Kewajiban utama pasca IFRS 17</t>
  </si>
  <si>
    <t>Claims payable / reinsurance payable / commission payable</t>
  </si>
  <si>
    <t>Kewajiban underwriting lain</t>
  </si>
  <si>
    <t>PL</t>
  </si>
  <si>
    <t>Pendapatan asuransi</t>
  </si>
  <si>
    <t>Input_PL_OCI</t>
  </si>
  <si>
    <t>Bukan premi bruto IFRS 4</t>
  </si>
  <si>
    <t>Insurance service expense</t>
  </si>
  <si>
    <t>Beban jasa asuransi</t>
  </si>
  <si>
    <t>Klaim dan biaya langsung</t>
  </si>
  <si>
    <t>Net expense/(income) from reinsurance contracts held</t>
  </si>
  <si>
    <t>Beban/(pendapatan) bersih reasuransi</t>
  </si>
  <si>
    <t>Offset proteksi reasuransi</t>
  </si>
  <si>
    <t>IFRS17</t>
  </si>
  <si>
    <t>Klaim bruto terjadi / incurred claims</t>
  </si>
  <si>
    <t>Input_IFRS17_Detail</t>
  </si>
  <si>
    <t>Dasar loss ratio</t>
  </si>
  <si>
    <t>Reinsurance recoveries related to claims</t>
  </si>
  <si>
    <t>Pemulihan reasuransi atas klaim</t>
  </si>
  <si>
    <t>Input positif bila mengurangi klaim neto</t>
  </si>
  <si>
    <t>LRC / LIC / OCR / IBNR</t>
  </si>
  <si>
    <t>LRC, LIC, outstanding claims reserve, IBNR</t>
  </si>
  <si>
    <t>Cadangan utama asuransi umum</t>
  </si>
  <si>
    <t>Gross written premium / Net written premium equivalent</t>
  </si>
  <si>
    <t>GWP / NWP management metric</t>
  </si>
  <si>
    <t>Management</t>
  </si>
  <si>
    <t>Mempermudah retention ratio</t>
  </si>
  <si>
    <t>IFRS9</t>
  </si>
  <si>
    <t>Stage 1/2/3 exposures &amp; allowances</t>
  </si>
  <si>
    <t>Eksposur ECL per stage dan allowance</t>
  </si>
  <si>
    <t>IFRS 9</t>
  </si>
  <si>
    <t>Input_IFRS9_Detail</t>
  </si>
  <si>
    <t>Dasar analisis kualitas kredit</t>
  </si>
  <si>
    <t>Sensitivitas OCI</t>
  </si>
  <si>
    <t>RASIO KEUANGAN OTOMATIS – KHUSUS ASURANSI UMUM</t>
  </si>
  <si>
    <t>Kategori</t>
  </si>
  <si>
    <t>Rasio</t>
  </si>
  <si>
    <t>Rumus</t>
  </si>
  <si>
    <t>CY</t>
  </si>
  <si>
    <t>PY</t>
  </si>
  <si>
    <t>PPY</t>
  </si>
  <si>
    <t>Interpretasi otomatis</t>
  </si>
  <si>
    <t>Profitabilitas</t>
  </si>
  <si>
    <t>ROA</t>
  </si>
  <si>
    <t>Profit for the year / Total assets</t>
  </si>
  <si>
    <t>ROE</t>
  </si>
  <si>
    <t>Profit for the year / Total equity</t>
  </si>
  <si>
    <t>Underwriting</t>
  </si>
  <si>
    <t>Net claims / insurance revenue</t>
  </si>
  <si>
    <t>Underwriting expenses / insurance revenue</t>
  </si>
  <si>
    <t>Net loss ratio + expense ratio</t>
  </si>
  <si>
    <t>NWP/GWP equivalent</t>
  </si>
  <si>
    <t>(OCR+IBNR) / equity</t>
  </si>
  <si>
    <t>Reinsurance asset / Equity</t>
  </si>
  <si>
    <t>Reinsurance contract assets / equity</t>
  </si>
  <si>
    <t>Leverage</t>
  </si>
  <si>
    <t>Liabilities / Equity</t>
  </si>
  <si>
    <t>Total liabilities / Total equity</t>
  </si>
  <si>
    <t>Likuiditas</t>
  </si>
  <si>
    <t>Cash / Liabilities</t>
  </si>
  <si>
    <t>Cash &amp; equivalents / Total liabilities</t>
  </si>
  <si>
    <t>ECL coverage</t>
  </si>
  <si>
    <t>Total allowance / Financial assets subject to ECL</t>
  </si>
  <si>
    <t>Stage 2+3 ratio</t>
  </si>
  <si>
    <t>(Stage 2 + Stage 3 exposure) / total ECL assets</t>
  </si>
  <si>
    <t>Arus kas</t>
  </si>
  <si>
    <t>OCF / Profit</t>
  </si>
  <si>
    <t>Operating cash flow / Profit</t>
  </si>
  <si>
    <t>Ending cash vs SFP cash</t>
  </si>
  <si>
    <t>Cash ending CF / Cash SFP</t>
  </si>
  <si>
    <t>COMMON SIZE, TREND, DAN GERAKAN 3 TAHUN – ASURANSI UMUM</t>
  </si>
  <si>
    <t>Statement</t>
  </si>
  <si>
    <t>Common size PY</t>
  </si>
  <si>
    <t>Growth CY vs PY</t>
  </si>
  <si>
    <t>Growth PY vs PPY</t>
  </si>
  <si>
    <t>Arah</t>
  </si>
  <si>
    <t>Total assets</t>
  </si>
  <si>
    <t>Total liabilities</t>
  </si>
  <si>
    <t>Total equity</t>
  </si>
  <si>
    <t>Insurance service result</t>
  </si>
  <si>
    <t>Profit for the year</t>
  </si>
  <si>
    <t>Total ECL allowance</t>
  </si>
  <si>
    <t>ANALISIS KHUSUS IFRS 17 / PSAK 117 – ASURANSI UMUM</t>
  </si>
  <si>
    <t>Indikator</t>
  </si>
  <si>
    <t>Perubahan</t>
  </si>
  <si>
    <t>Fokus analisis</t>
  </si>
  <si>
    <t>Skala bisnis</t>
  </si>
  <si>
    <t>Kualitas laba inti</t>
  </si>
  <si>
    <t>Kualitas underwriting</t>
  </si>
  <si>
    <t>Strategi proteksi</t>
  </si>
  <si>
    <t>Cadangan teknis</t>
  </si>
  <si>
    <t>Counterparty dependence</t>
  </si>
  <si>
    <t>LIC / LRC check</t>
  </si>
  <si>
    <t>Komposisi kewajiban</t>
  </si>
  <si>
    <t>ANALISIS KHUSUS IFRS 9 / PSAK 109 – ASURANSI UMUM</t>
  </si>
  <si>
    <t>Financial assets subject to ECL</t>
  </si>
  <si>
    <t>Ruang lingkup ECL</t>
  </si>
  <si>
    <t>Total allowance ECL</t>
  </si>
  <si>
    <t>Cadangan kerugian</t>
  </si>
  <si>
    <t>Kehati-hatian kredit</t>
  </si>
  <si>
    <t>Kualitas portofolio</t>
  </si>
  <si>
    <t>FVOCI reserve</t>
  </si>
  <si>
    <t>Sensitivitas pasar</t>
  </si>
  <si>
    <t>Kinerja investasi</t>
  </si>
  <si>
    <t>RINGKASAN OTOMATIS / EXECUTIVE SUMMARY – ASURANSI UMUM</t>
  </si>
  <si>
    <t>Perusahaan</t>
  </si>
  <si>
    <t>Periode</t>
  </si>
  <si>
    <t>Executive summary</t>
  </si>
  <si>
    <t>1. Skala &amp; struktur neraca</t>
  </si>
  <si>
    <t>2. Profitabilitas</t>
  </si>
  <si>
    <t>3. Kualitas hasil jasa asuransi (IFRS 17)</t>
  </si>
  <si>
    <t>4. Kualitas aset keuangan (IFRS 9)</t>
  </si>
  <si>
    <t>5. Arus kas</t>
  </si>
  <si>
    <t>6. Red flags utama</t>
  </si>
  <si>
    <t>Checklist cepat user</t>
  </si>
  <si>
    <t>IFRS17 utama sudah cukup lengkap?</t>
  </si>
  <si>
    <t>IFRS9 utama sudah cukup lengkap?</t>
  </si>
  <si>
    <t>Neraca balance?</t>
  </si>
  <si>
    <t>Kas konsisten?</t>
  </si>
  <si>
    <t>DASHBOARD RINGKAS – ASURANSI UMUM IFRS 9 / IFRS 17</t>
  </si>
  <si>
    <t>Total Aset</t>
  </si>
  <si>
    <t>Total Liabilitas</t>
  </si>
  <si>
    <t>Total Ekuitas</t>
  </si>
  <si>
    <t>Profit Tahun Berjalan</t>
  </si>
  <si>
    <t>Comprehensive Income</t>
  </si>
  <si>
    <t>Combined Ratio</t>
  </si>
  <si>
    <t>Retention Ratio</t>
  </si>
  <si>
    <t>ECL Coverage</t>
  </si>
  <si>
    <t>Quick summary</t>
  </si>
  <si>
    <t>Red flags</t>
  </si>
  <si>
    <t>Checklist</t>
  </si>
  <si>
    <t>IFRS17 lengkap</t>
  </si>
  <si>
    <t>IFRS9 lengkap</t>
  </si>
  <si>
    <t>Neraca balance</t>
  </si>
  <si>
    <t>Kas konsisten</t>
  </si>
  <si>
    <t>VALIDASI INPUT, KONSISTENSI, DAN KONTROL</t>
  </si>
  <si>
    <t>Kontrol</t>
  </si>
  <si>
    <t>Hasil</t>
  </si>
  <si>
    <t>Status</t>
  </si>
  <si>
    <t>Sheet</t>
  </si>
  <si>
    <t>Tindak lanjut</t>
  </si>
  <si>
    <t>Total assets = liabilities + dana peserta + equity</t>
  </si>
  <si>
    <t>Pastikan neraca balance</t>
  </si>
  <si>
    <t>Cash ending CF = cash SFP</t>
  </si>
  <si>
    <t>Input_CF / Input_SFP</t>
  </si>
  <si>
    <t>Rekonsiliasi arus kas dan neraca</t>
  </si>
  <si>
    <t>Profit + OCI = Total comprehensive income</t>
  </si>
  <si>
    <t>Periksa laba dan OCI</t>
  </si>
  <si>
    <t>Insurance service result formula</t>
  </si>
  <si>
    <t>Periksa komponen hasil jasa</t>
  </si>
  <si>
    <t>Insurance result after finance</t>
  </si>
  <si>
    <t>Periksa hasil setelah finance</t>
  </si>
  <si>
    <t>Retention ratio helper</t>
  </si>
  <si>
    <t>Isi GWP/NWP bila memakai retention ratio</t>
  </si>
  <si>
    <t>Combined ratio helper</t>
  </si>
  <si>
    <t>Periksa loss dan expense ratio</t>
  </si>
  <si>
    <t>Total financial assets subject to ECL</t>
  </si>
  <si>
    <t>Periksa basis ECL</t>
  </si>
  <si>
    <t>Periksa stage allowance</t>
  </si>
  <si>
    <t>Minimal input SFP utama terisi</t>
  </si>
  <si>
    <t>Isi akun utama minimal</t>
  </si>
  <si>
    <t>Minimal input P/L utama terisi</t>
  </si>
  <si>
    <t>Isi akun P/L utama minimal</t>
  </si>
  <si>
    <t>Minimal input IFRS17 utama terisi</t>
  </si>
  <si>
    <t>Isi revenue, klaim, cadangan, RA</t>
  </si>
  <si>
    <t>Minimal input IFRS9 utama terisi</t>
  </si>
  <si>
    <t>Isi klasifikasi aset &amp; ECL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</si>
</sst>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;[Red]\(0.0%\);\-"/>
    <numFmt numFmtId="165" formatCode="0.00\x;[Red]\(0.00\x\);\-"/>
    <numFmt numFmtId="166" formatCode="#,##0_);[Red]\(#,##0\);\-"/>
  </numFmts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name val="Calibri"/>
    </font>
    <font>
      <sz val="11"/>
      <color rgb="FF0000FF"/>
      <name val="Calibri"/>
    </font>
    <font>
      <sz val="11"/>
      <name val="Calibri"/>
    </font>
    <font>
      <b/>
      <sz val="11"/>
      <color rgb="FFFFFFFF"/>
      <name val="Calibri"/>
    </font>
    <font>
      <b/>
      <sz val="12"/>
      <name val="Calibri"/>
    </font>
    <font>
      <sz val="11"/>
      <color rgb="FF0000FF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63A70"/>
      </patternFill>
    </fill>
    <fill>
      <patternFill patternType="solid">
        <fgColor rgb="FFD9E8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164" fontId="3" fillId="4" borderId="0" xfId="0" applyNumberFormat="1" applyFont="1" applyFill="1" applyAlignment="1">
      <alignment horizontal="left" vertical="center"/>
    </xf>
    <xf numFmtId="165" fontId="3" fillId="4" borderId="0" xfId="0" applyNumberFormat="1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166" fontId="3" fillId="4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/>
    <xf numFmtId="0" fontId="2" fillId="5" borderId="1" xfId="0" applyFont="1" applyFill="1" applyBorder="1" applyAlignment="1">
      <alignment horizontal="left" vertical="center"/>
    </xf>
    <xf numFmtId="0" fontId="4" fillId="5" borderId="1" xfId="0" applyFont="1" applyFill="1" applyBorder="1"/>
    <xf numFmtId="164" fontId="4" fillId="5" borderId="1" xfId="0" applyNumberFormat="1" applyFont="1" applyFill="1" applyBorder="1"/>
    <xf numFmtId="0" fontId="4" fillId="5" borderId="1" xfId="0" applyFont="1" applyFill="1" applyBorder="1" applyAlignment="1">
      <alignment horizontal="left" vertical="center"/>
    </xf>
    <xf numFmtId="166" fontId="3" fillId="4" borderId="1" xfId="0" applyNumberFormat="1" applyFont="1" applyFill="1" applyBorder="1"/>
    <xf numFmtId="0" fontId="0" fillId="0" borderId="1" xfId="0" applyBorder="1"/>
    <xf numFmtId="164" fontId="3" fillId="4" borderId="1" xfId="0" applyNumberFormat="1" applyFont="1" applyFill="1" applyBorder="1"/>
    <xf numFmtId="165" fontId="0" fillId="0" borderId="1" xfId="0" applyNumberFormat="1" applyBorder="1"/>
    <xf numFmtId="164" fontId="0" fillId="0" borderId="1" xfId="0" applyNumberForma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6" fillId="6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6" fontId="6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left" vertical="center"/>
    </xf>
    <xf numFmtId="164" fontId="6" fillId="6" borderId="0" xfId="0" applyNumberFormat="1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0" fontId="5" fillId="2" borderId="0" xfId="0" applyFont="1" applyFill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3" fontId="7" fillId="7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workbookViewId="0">
      <selection sqref="A1:H1"/>
    </sheetView>
  </sheetViews>
  <sheetFormatPr defaultRowHeight="14.5" x14ac:dyDescent="0.35"/>
  <cols>
    <col min="1" max="1" width="32" customWidth="1"/>
    <col min="2" max="2" width="120" customWidth="1"/>
  </cols>
  <sheetData>
    <row r="1" spans="1:8" ht="17" x14ac:dyDescent="0.35">
      <c r="A1" s="29" t="s">
        <v>0</v>
      </c>
      <c r="B1" s="30"/>
      <c r="C1" s="30"/>
      <c r="D1" s="30"/>
      <c r="E1" s="30"/>
      <c r="F1" s="30"/>
      <c r="G1" s="30"/>
      <c r="H1" s="30"/>
    </row>
    <row r="3" spans="1:8" x14ac:dyDescent="0.35">
      <c r="A3" s="1" t="s">
        <v>1</v>
      </c>
      <c r="B3" s="2" t="s">
        <v>2</v>
      </c>
      <c r="H3" s="2"/>
    </row>
    <row r="4" spans="1:8" x14ac:dyDescent="0.35">
      <c r="A4" s="2"/>
      <c r="B4" s="2"/>
      <c r="H4" s="2"/>
    </row>
    <row r="5" spans="1:8" x14ac:dyDescent="0.35">
      <c r="A5" s="1" t="s">
        <v>3</v>
      </c>
      <c r="B5" s="2" t="s">
        <v>4</v>
      </c>
      <c r="H5" s="2"/>
    </row>
    <row r="6" spans="1:8" x14ac:dyDescent="0.35">
      <c r="A6" s="2"/>
      <c r="B6" s="2"/>
      <c r="H6" s="2"/>
    </row>
    <row r="7" spans="1:8" x14ac:dyDescent="0.35">
      <c r="A7" s="1" t="s">
        <v>5</v>
      </c>
      <c r="B7" s="2" t="s">
        <v>6</v>
      </c>
      <c r="H7" s="2"/>
    </row>
    <row r="8" spans="1:8" x14ac:dyDescent="0.35">
      <c r="A8" s="2"/>
      <c r="B8" s="2"/>
      <c r="H8" s="2"/>
    </row>
    <row r="9" spans="1:8" x14ac:dyDescent="0.35">
      <c r="A9" s="1" t="s">
        <v>7</v>
      </c>
      <c r="B9" s="2" t="s">
        <v>8</v>
      </c>
      <c r="H9" s="2"/>
    </row>
    <row r="10" spans="1:8" x14ac:dyDescent="0.35">
      <c r="A10" s="2"/>
      <c r="B10" s="2"/>
      <c r="H10" s="2"/>
    </row>
    <row r="11" spans="1:8" x14ac:dyDescent="0.35">
      <c r="A11" s="1" t="s">
        <v>9</v>
      </c>
      <c r="B11" s="2" t="s">
        <v>10</v>
      </c>
      <c r="H11" s="2"/>
    </row>
    <row r="12" spans="1:8" x14ac:dyDescent="0.35">
      <c r="A12" s="2"/>
      <c r="B12" s="2"/>
      <c r="H12" s="2"/>
    </row>
    <row r="13" spans="1:8" x14ac:dyDescent="0.35">
      <c r="A13" s="1" t="s">
        <v>11</v>
      </c>
      <c r="B13" s="2" t="s">
        <v>12</v>
      </c>
      <c r="H13" s="2"/>
    </row>
    <row r="14" spans="1:8" x14ac:dyDescent="0.35">
      <c r="A14" s="2"/>
      <c r="B14" s="2"/>
      <c r="H14" s="2"/>
    </row>
    <row r="15" spans="1:8" x14ac:dyDescent="0.35">
      <c r="A15" s="1" t="s">
        <v>13</v>
      </c>
      <c r="B15" s="2" t="s">
        <v>14</v>
      </c>
      <c r="H15" s="2"/>
    </row>
    <row r="16" spans="1:8" x14ac:dyDescent="0.35">
      <c r="A16" s="2"/>
      <c r="B16" s="2"/>
      <c r="H16" s="2"/>
    </row>
    <row r="17" spans="1:8" x14ac:dyDescent="0.35">
      <c r="A17" s="1" t="s">
        <v>15</v>
      </c>
      <c r="B17" s="2" t="s">
        <v>16</v>
      </c>
      <c r="H17" s="2"/>
    </row>
    <row r="18" spans="1:8" x14ac:dyDescent="0.35">
      <c r="A18" s="2"/>
      <c r="B18" s="2"/>
      <c r="H18" s="2"/>
    </row>
    <row r="19" spans="1:8" x14ac:dyDescent="0.35">
      <c r="A19" s="1" t="s">
        <v>17</v>
      </c>
      <c r="B19" s="2" t="s">
        <v>18</v>
      </c>
      <c r="H19" s="2"/>
    </row>
    <row r="20" spans="1:8" x14ac:dyDescent="0.35">
      <c r="A20" s="2"/>
      <c r="B20" s="2"/>
      <c r="H20" s="2"/>
    </row>
    <row r="21" spans="1:8" x14ac:dyDescent="0.35">
      <c r="A21" s="1" t="s">
        <v>19</v>
      </c>
      <c r="B21" s="2" t="s">
        <v>20</v>
      </c>
      <c r="H21" s="2"/>
    </row>
    <row r="22" spans="1:8" x14ac:dyDescent="0.35">
      <c r="A22" s="2"/>
      <c r="B22" s="2"/>
      <c r="H22" s="2"/>
    </row>
    <row r="23" spans="1:8" x14ac:dyDescent="0.35">
      <c r="A23" s="1" t="s">
        <v>21</v>
      </c>
      <c r="B23" s="2" t="s">
        <v>22</v>
      </c>
      <c r="H23" s="2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showGridLines="0" workbookViewId="0">
      <selection sqref="A1:F1"/>
    </sheetView>
  </sheetViews>
  <sheetFormatPr defaultRowHeight="14.5" x14ac:dyDescent="0.35"/>
  <cols>
    <col min="1" max="1" width="34" customWidth="1"/>
    <col min="2" max="2" width="42" customWidth="1"/>
  </cols>
  <sheetData>
    <row r="1" spans="1:6" ht="17" x14ac:dyDescent="0.35">
      <c r="A1" s="29" t="s">
        <v>23</v>
      </c>
      <c r="B1" s="30"/>
      <c r="C1" s="30"/>
      <c r="D1" s="30"/>
      <c r="E1" s="30"/>
      <c r="F1" s="30"/>
    </row>
    <row r="2" spans="1:6" x14ac:dyDescent="0.35">
      <c r="A2" s="3" t="s">
        <v>24</v>
      </c>
      <c r="B2" s="3" t="s">
        <v>25</v>
      </c>
    </row>
    <row r="3" spans="1:6" x14ac:dyDescent="0.35">
      <c r="A3" s="2" t="s">
        <v>26</v>
      </c>
      <c r="B3" s="4" t="s">
        <v>27</v>
      </c>
    </row>
    <row r="4" spans="1:6" x14ac:dyDescent="0.35">
      <c r="A4" s="2" t="s">
        <v>28</v>
      </c>
      <c r="B4" s="4" t="s">
        <v>29</v>
      </c>
    </row>
    <row r="5" spans="1:6" x14ac:dyDescent="0.35">
      <c r="A5" s="2" t="s">
        <v>30</v>
      </c>
      <c r="B5" s="4">
        <v>2025</v>
      </c>
    </row>
    <row r="6" spans="1:6" x14ac:dyDescent="0.35">
      <c r="A6" s="2" t="s">
        <v>31</v>
      </c>
      <c r="B6" s="4">
        <v>2024</v>
      </c>
    </row>
    <row r="7" spans="1:6" x14ac:dyDescent="0.35">
      <c r="A7" s="2" t="s">
        <v>32</v>
      </c>
      <c r="B7" s="4">
        <v>2023</v>
      </c>
    </row>
    <row r="8" spans="1:6" x14ac:dyDescent="0.35">
      <c r="A8" s="2" t="s">
        <v>33</v>
      </c>
      <c r="B8" s="4" t="s">
        <v>34</v>
      </c>
    </row>
    <row r="9" spans="1:6" x14ac:dyDescent="0.35">
      <c r="A9" s="2" t="s">
        <v>35</v>
      </c>
      <c r="B9" s="4" t="s">
        <v>36</v>
      </c>
    </row>
    <row r="10" spans="1:6" x14ac:dyDescent="0.35">
      <c r="A10" s="2" t="s">
        <v>37</v>
      </c>
      <c r="B10" s="4" t="s">
        <v>38</v>
      </c>
    </row>
    <row r="11" spans="1:6" x14ac:dyDescent="0.35">
      <c r="A11" s="2" t="s">
        <v>39</v>
      </c>
      <c r="B11" s="4" t="s">
        <v>40</v>
      </c>
    </row>
    <row r="12" spans="1:6" x14ac:dyDescent="0.35">
      <c r="A12" s="2"/>
      <c r="B12" s="5"/>
    </row>
    <row r="13" spans="1:6" x14ac:dyDescent="0.35">
      <c r="A13" s="2" t="s">
        <v>41</v>
      </c>
      <c r="B13" s="6">
        <v>0.08</v>
      </c>
    </row>
    <row r="14" spans="1:6" x14ac:dyDescent="0.35">
      <c r="A14" s="2" t="s">
        <v>42</v>
      </c>
      <c r="B14" s="7">
        <v>5</v>
      </c>
    </row>
    <row r="15" spans="1:6" x14ac:dyDescent="0.35">
      <c r="A15" s="2" t="s">
        <v>43</v>
      </c>
      <c r="B15" s="6">
        <v>0.01</v>
      </c>
    </row>
    <row r="16" spans="1:6" x14ac:dyDescent="0.35">
      <c r="A16" s="2" t="s">
        <v>44</v>
      </c>
      <c r="B16" s="6">
        <v>0.08</v>
      </c>
    </row>
    <row r="17" spans="1:2" x14ac:dyDescent="0.35">
      <c r="A17" s="2" t="s">
        <v>45</v>
      </c>
      <c r="B17" s="6">
        <v>0.75</v>
      </c>
    </row>
    <row r="18" spans="1:2" x14ac:dyDescent="0.35">
      <c r="A18" s="2" t="s">
        <v>46</v>
      </c>
      <c r="B18" s="6">
        <v>0.35</v>
      </c>
    </row>
    <row r="19" spans="1:2" x14ac:dyDescent="0.35">
      <c r="A19" s="2" t="s">
        <v>47</v>
      </c>
      <c r="B19" s="6">
        <v>1</v>
      </c>
    </row>
    <row r="20" spans="1:2" x14ac:dyDescent="0.35">
      <c r="A20" s="2" t="s">
        <v>48</v>
      </c>
      <c r="B20" s="6">
        <v>0.5</v>
      </c>
    </row>
    <row r="21" spans="1:2" x14ac:dyDescent="0.35">
      <c r="A21" s="2" t="s">
        <v>49</v>
      </c>
      <c r="B21" s="6">
        <v>5.0000000000000001E-3</v>
      </c>
    </row>
    <row r="22" spans="1:2" x14ac:dyDescent="0.35">
      <c r="A22" s="2" t="s">
        <v>50</v>
      </c>
      <c r="B22" s="6">
        <v>0.15</v>
      </c>
    </row>
    <row r="23" spans="1:2" x14ac:dyDescent="0.35">
      <c r="A23" s="2" t="s">
        <v>51</v>
      </c>
      <c r="B23" s="6">
        <v>0.8</v>
      </c>
    </row>
    <row r="24" spans="1:2" x14ac:dyDescent="0.35">
      <c r="A24" s="2" t="s">
        <v>52</v>
      </c>
      <c r="B24" s="6">
        <v>3</v>
      </c>
    </row>
  </sheetData>
  <mergeCells count="1">
    <mergeCell ref="A1:F1"/>
  </mergeCells>
  <dataValidations count="1">
    <dataValidation type="list" sqref="B8" xr:uid="{00000000-0002-0000-0100-000000000000}">
      <formula1>"Konvensional,Syariah,Campuran"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showGridLines="0" tabSelected="1" topLeftCell="C1" workbookViewId="0">
      <selection activeCell="C3" sqref="C3:E3"/>
    </sheetView>
  </sheetViews>
  <sheetFormatPr defaultRowHeight="14.5" x14ac:dyDescent="0.35"/>
  <cols>
    <col min="1" max="1" width="16" customWidth="1"/>
    <col min="2" max="2" width="50" customWidth="1"/>
    <col min="3" max="5" width="15" customWidth="1"/>
    <col min="6" max="7" width="12" customWidth="1"/>
    <col min="8" max="8" width="14" customWidth="1"/>
    <col min="9" max="9" width="24" customWidth="1"/>
  </cols>
  <sheetData>
    <row r="1" spans="1:9" ht="17" x14ac:dyDescent="0.35">
      <c r="A1" s="29" t="s">
        <v>53</v>
      </c>
      <c r="B1" s="30"/>
      <c r="C1" s="30"/>
      <c r="D1" s="30"/>
      <c r="E1" s="30"/>
      <c r="F1" s="30"/>
      <c r="G1" s="30"/>
      <c r="H1" s="30"/>
      <c r="I1" s="30"/>
    </row>
    <row r="2" spans="1:9" x14ac:dyDescent="0.35">
      <c r="A2" s="3" t="s">
        <v>54</v>
      </c>
      <c r="B2" s="3" t="s">
        <v>55</v>
      </c>
      <c r="C2" s="3" t="s">
        <v>30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39</v>
      </c>
    </row>
    <row r="3" spans="1:9" x14ac:dyDescent="0.35">
      <c r="A3" s="8" t="s">
        <v>61</v>
      </c>
      <c r="B3" s="8" t="s">
        <v>62</v>
      </c>
      <c r="C3" s="31"/>
      <c r="D3" s="31"/>
      <c r="E3" s="31"/>
      <c r="F3" s="10" t="str">
        <f t="shared" ref="F3:F35" si="0">IFERROR((C3/D3)-1,"")</f>
        <v/>
      </c>
      <c r="G3" s="10" t="str">
        <f t="shared" ref="G3:G35" si="1">IFERROR(C3/$C$18,"")</f>
        <v/>
      </c>
      <c r="H3" s="8" t="s">
        <v>63</v>
      </c>
      <c r="I3" s="8"/>
    </row>
    <row r="4" spans="1:9" x14ac:dyDescent="0.35">
      <c r="A4" s="8" t="s">
        <v>61</v>
      </c>
      <c r="B4" s="8" t="s">
        <v>64</v>
      </c>
      <c r="C4" s="9"/>
      <c r="D4" s="9"/>
      <c r="E4" s="9"/>
      <c r="F4" s="10" t="str">
        <f t="shared" si="0"/>
        <v/>
      </c>
      <c r="G4" s="10" t="str">
        <f t="shared" si="1"/>
        <v/>
      </c>
      <c r="H4" s="8" t="s">
        <v>65</v>
      </c>
      <c r="I4" s="8"/>
    </row>
    <row r="5" spans="1:9" x14ac:dyDescent="0.35">
      <c r="A5" s="8" t="s">
        <v>61</v>
      </c>
      <c r="B5" s="8" t="s">
        <v>66</v>
      </c>
      <c r="C5" s="9"/>
      <c r="D5" s="9"/>
      <c r="E5" s="9"/>
      <c r="F5" s="10" t="str">
        <f t="shared" si="0"/>
        <v/>
      </c>
      <c r="G5" s="10" t="str">
        <f t="shared" si="1"/>
        <v/>
      </c>
      <c r="H5" s="8" t="s">
        <v>63</v>
      </c>
      <c r="I5" s="8"/>
    </row>
    <row r="6" spans="1:9" x14ac:dyDescent="0.35">
      <c r="A6" s="8" t="s">
        <v>61</v>
      </c>
      <c r="B6" s="8" t="s">
        <v>67</v>
      </c>
      <c r="C6" s="9"/>
      <c r="D6" s="9"/>
      <c r="E6" s="9"/>
      <c r="F6" s="10" t="str">
        <f t="shared" si="0"/>
        <v/>
      </c>
      <c r="G6" s="10" t="str">
        <f t="shared" si="1"/>
        <v/>
      </c>
      <c r="H6" s="8" t="s">
        <v>63</v>
      </c>
      <c r="I6" s="8"/>
    </row>
    <row r="7" spans="1:9" x14ac:dyDescent="0.35">
      <c r="A7" s="8" t="s">
        <v>61</v>
      </c>
      <c r="B7" s="8" t="s">
        <v>68</v>
      </c>
      <c r="C7" s="9"/>
      <c r="D7" s="9"/>
      <c r="E7" s="9"/>
      <c r="F7" s="10" t="str">
        <f t="shared" si="0"/>
        <v/>
      </c>
      <c r="G7" s="10" t="str">
        <f t="shared" si="1"/>
        <v/>
      </c>
      <c r="H7" s="8" t="s">
        <v>65</v>
      </c>
      <c r="I7" s="8"/>
    </row>
    <row r="8" spans="1:9" x14ac:dyDescent="0.35">
      <c r="A8" s="8" t="s">
        <v>61</v>
      </c>
      <c r="B8" s="8" t="s">
        <v>69</v>
      </c>
      <c r="C8" s="9"/>
      <c r="D8" s="9"/>
      <c r="E8" s="9"/>
      <c r="F8" s="10" t="str">
        <f t="shared" si="0"/>
        <v/>
      </c>
      <c r="G8" s="10" t="str">
        <f t="shared" si="1"/>
        <v/>
      </c>
      <c r="H8" s="8" t="s">
        <v>63</v>
      </c>
      <c r="I8" s="8"/>
    </row>
    <row r="9" spans="1:9" x14ac:dyDescent="0.35">
      <c r="A9" s="8" t="s">
        <v>61</v>
      </c>
      <c r="B9" s="8" t="s">
        <v>70</v>
      </c>
      <c r="C9" s="9"/>
      <c r="D9" s="9"/>
      <c r="E9" s="9"/>
      <c r="F9" s="10" t="str">
        <f t="shared" si="0"/>
        <v/>
      </c>
      <c r="G9" s="10" t="str">
        <f t="shared" si="1"/>
        <v/>
      </c>
      <c r="H9" s="8" t="s">
        <v>65</v>
      </c>
      <c r="I9" s="8"/>
    </row>
    <row r="10" spans="1:9" x14ac:dyDescent="0.35">
      <c r="A10" s="8" t="s">
        <v>61</v>
      </c>
      <c r="B10" s="8" t="s">
        <v>71</v>
      </c>
      <c r="C10" s="9"/>
      <c r="D10" s="9"/>
      <c r="E10" s="9"/>
      <c r="F10" s="10" t="str">
        <f t="shared" si="0"/>
        <v/>
      </c>
      <c r="G10" s="10" t="str">
        <f t="shared" si="1"/>
        <v/>
      </c>
      <c r="H10" s="8" t="s">
        <v>65</v>
      </c>
      <c r="I10" s="8"/>
    </row>
    <row r="11" spans="1:9" x14ac:dyDescent="0.35">
      <c r="A11" s="8" t="s">
        <v>61</v>
      </c>
      <c r="B11" s="8" t="s">
        <v>72</v>
      </c>
      <c r="C11" s="9"/>
      <c r="D11" s="9"/>
      <c r="E11" s="9"/>
      <c r="F11" s="10" t="str">
        <f t="shared" si="0"/>
        <v/>
      </c>
      <c r="G11" s="10" t="str">
        <f t="shared" si="1"/>
        <v/>
      </c>
      <c r="H11" s="8" t="s">
        <v>63</v>
      </c>
      <c r="I11" s="8"/>
    </row>
    <row r="12" spans="1:9" x14ac:dyDescent="0.35">
      <c r="A12" s="8" t="s">
        <v>61</v>
      </c>
      <c r="B12" s="8" t="s">
        <v>73</v>
      </c>
      <c r="C12" s="9"/>
      <c r="D12" s="9"/>
      <c r="E12" s="9"/>
      <c r="F12" s="10" t="str">
        <f t="shared" si="0"/>
        <v/>
      </c>
      <c r="G12" s="10" t="str">
        <f t="shared" si="1"/>
        <v/>
      </c>
      <c r="H12" s="8" t="s">
        <v>63</v>
      </c>
      <c r="I12" s="8"/>
    </row>
    <row r="13" spans="1:9" x14ac:dyDescent="0.35">
      <c r="A13" s="8" t="s">
        <v>61</v>
      </c>
      <c r="B13" s="8" t="s">
        <v>74</v>
      </c>
      <c r="C13" s="9"/>
      <c r="D13" s="9"/>
      <c r="E13" s="9"/>
      <c r="F13" s="10" t="str">
        <f t="shared" si="0"/>
        <v/>
      </c>
      <c r="G13" s="10" t="str">
        <f t="shared" si="1"/>
        <v/>
      </c>
      <c r="H13" s="8" t="s">
        <v>65</v>
      </c>
      <c r="I13" s="8"/>
    </row>
    <row r="14" spans="1:9" x14ac:dyDescent="0.35">
      <c r="A14" s="8" t="s">
        <v>61</v>
      </c>
      <c r="B14" s="8" t="s">
        <v>75</v>
      </c>
      <c r="C14" s="9"/>
      <c r="D14" s="9"/>
      <c r="E14" s="9"/>
      <c r="F14" s="10" t="str">
        <f t="shared" si="0"/>
        <v/>
      </c>
      <c r="G14" s="10" t="str">
        <f t="shared" si="1"/>
        <v/>
      </c>
      <c r="H14" s="8" t="s">
        <v>65</v>
      </c>
      <c r="I14" s="8"/>
    </row>
    <row r="15" spans="1:9" x14ac:dyDescent="0.35">
      <c r="A15" s="8" t="s">
        <v>61</v>
      </c>
      <c r="B15" s="8" t="s">
        <v>76</v>
      </c>
      <c r="C15" s="9"/>
      <c r="D15" s="9"/>
      <c r="E15" s="9"/>
      <c r="F15" s="10" t="str">
        <f t="shared" si="0"/>
        <v/>
      </c>
      <c r="G15" s="10" t="str">
        <f t="shared" si="1"/>
        <v/>
      </c>
      <c r="H15" s="8" t="s">
        <v>65</v>
      </c>
      <c r="I15" s="8"/>
    </row>
    <row r="16" spans="1:9" x14ac:dyDescent="0.35">
      <c r="A16" s="8" t="s">
        <v>61</v>
      </c>
      <c r="B16" s="8" t="s">
        <v>77</v>
      </c>
      <c r="C16" s="9"/>
      <c r="D16" s="9"/>
      <c r="E16" s="9"/>
      <c r="F16" s="10" t="str">
        <f t="shared" si="0"/>
        <v/>
      </c>
      <c r="G16" s="10" t="str">
        <f t="shared" si="1"/>
        <v/>
      </c>
      <c r="H16" s="8" t="s">
        <v>65</v>
      </c>
      <c r="I16" s="8"/>
    </row>
    <row r="17" spans="1:9" x14ac:dyDescent="0.35">
      <c r="A17" s="8" t="s">
        <v>61</v>
      </c>
      <c r="B17" s="8" t="s">
        <v>78</v>
      </c>
      <c r="C17" s="9"/>
      <c r="D17" s="9"/>
      <c r="E17" s="9"/>
      <c r="F17" s="10" t="str">
        <f t="shared" si="0"/>
        <v/>
      </c>
      <c r="G17" s="10" t="str">
        <f t="shared" si="1"/>
        <v/>
      </c>
      <c r="H17" s="8" t="s">
        <v>65</v>
      </c>
      <c r="I17" s="8"/>
    </row>
    <row r="18" spans="1:9" x14ac:dyDescent="0.35">
      <c r="A18" s="11" t="s">
        <v>61</v>
      </c>
      <c r="B18" s="11" t="s">
        <v>79</v>
      </c>
      <c r="C18" s="12">
        <f>SUM(C3:C17)</f>
        <v>0</v>
      </c>
      <c r="D18" s="12">
        <f>SUM(D3:D17)</f>
        <v>0</v>
      </c>
      <c r="E18" s="12">
        <f>SUM(E3:E17)</f>
        <v>0</v>
      </c>
      <c r="F18" s="13" t="str">
        <f t="shared" si="0"/>
        <v/>
      </c>
      <c r="G18" s="13" t="str">
        <f t="shared" si="1"/>
        <v/>
      </c>
      <c r="H18" s="14" t="s">
        <v>80</v>
      </c>
      <c r="I18" s="14"/>
    </row>
    <row r="19" spans="1:9" x14ac:dyDescent="0.35">
      <c r="A19" s="8" t="s">
        <v>81</v>
      </c>
      <c r="B19" s="8" t="s">
        <v>82</v>
      </c>
      <c r="C19" s="9"/>
      <c r="D19" s="9"/>
      <c r="E19" s="9"/>
      <c r="F19" s="10" t="str">
        <f t="shared" si="0"/>
        <v/>
      </c>
      <c r="G19" s="10" t="str">
        <f t="shared" si="1"/>
        <v/>
      </c>
      <c r="H19" s="8" t="s">
        <v>63</v>
      </c>
      <c r="I19" s="8"/>
    </row>
    <row r="20" spans="1:9" x14ac:dyDescent="0.35">
      <c r="A20" s="8" t="s">
        <v>81</v>
      </c>
      <c r="B20" s="8" t="s">
        <v>83</v>
      </c>
      <c r="C20" s="9"/>
      <c r="D20" s="9"/>
      <c r="E20" s="9"/>
      <c r="F20" s="10" t="str">
        <f t="shared" si="0"/>
        <v/>
      </c>
      <c r="G20" s="10" t="str">
        <f t="shared" si="1"/>
        <v/>
      </c>
      <c r="H20" s="8" t="s">
        <v>65</v>
      </c>
      <c r="I20" s="8"/>
    </row>
    <row r="21" spans="1:9" x14ac:dyDescent="0.35">
      <c r="A21" s="8" t="s">
        <v>81</v>
      </c>
      <c r="B21" s="8" t="s">
        <v>84</v>
      </c>
      <c r="C21" s="9"/>
      <c r="D21" s="9"/>
      <c r="E21" s="9"/>
      <c r="F21" s="10" t="str">
        <f t="shared" si="0"/>
        <v/>
      </c>
      <c r="G21" s="10" t="str">
        <f t="shared" si="1"/>
        <v/>
      </c>
      <c r="H21" s="8" t="s">
        <v>65</v>
      </c>
      <c r="I21" s="8"/>
    </row>
    <row r="22" spans="1:9" x14ac:dyDescent="0.35">
      <c r="A22" s="8" t="s">
        <v>81</v>
      </c>
      <c r="B22" s="8" t="s">
        <v>85</v>
      </c>
      <c r="C22" s="9"/>
      <c r="D22" s="9"/>
      <c r="E22" s="9"/>
      <c r="F22" s="10" t="str">
        <f t="shared" si="0"/>
        <v/>
      </c>
      <c r="G22" s="10" t="str">
        <f t="shared" si="1"/>
        <v/>
      </c>
      <c r="H22" s="8" t="s">
        <v>63</v>
      </c>
      <c r="I22" s="8"/>
    </row>
    <row r="23" spans="1:9" x14ac:dyDescent="0.35">
      <c r="A23" s="8" t="s">
        <v>81</v>
      </c>
      <c r="B23" s="8" t="s">
        <v>86</v>
      </c>
      <c r="C23" s="9"/>
      <c r="D23" s="9"/>
      <c r="E23" s="9"/>
      <c r="F23" s="10" t="str">
        <f t="shared" si="0"/>
        <v/>
      </c>
      <c r="G23" s="10" t="str">
        <f t="shared" si="1"/>
        <v/>
      </c>
      <c r="H23" s="8" t="s">
        <v>65</v>
      </c>
      <c r="I23" s="8"/>
    </row>
    <row r="24" spans="1:9" x14ac:dyDescent="0.35">
      <c r="A24" s="8" t="s">
        <v>81</v>
      </c>
      <c r="B24" s="8" t="s">
        <v>87</v>
      </c>
      <c r="C24" s="9"/>
      <c r="D24" s="9"/>
      <c r="E24" s="9"/>
      <c r="F24" s="10" t="str">
        <f t="shared" si="0"/>
        <v/>
      </c>
      <c r="G24" s="10" t="str">
        <f t="shared" si="1"/>
        <v/>
      </c>
      <c r="H24" s="8" t="s">
        <v>65</v>
      </c>
      <c r="I24" s="8"/>
    </row>
    <row r="25" spans="1:9" x14ac:dyDescent="0.35">
      <c r="A25" s="8" t="s">
        <v>81</v>
      </c>
      <c r="B25" s="8" t="s">
        <v>88</v>
      </c>
      <c r="C25" s="9"/>
      <c r="D25" s="9"/>
      <c r="E25" s="9"/>
      <c r="F25" s="10" t="str">
        <f t="shared" si="0"/>
        <v/>
      </c>
      <c r="G25" s="10" t="str">
        <f t="shared" si="1"/>
        <v/>
      </c>
      <c r="H25" s="8" t="s">
        <v>65</v>
      </c>
      <c r="I25" s="8"/>
    </row>
    <row r="26" spans="1:9" x14ac:dyDescent="0.35">
      <c r="A26" s="11" t="s">
        <v>81</v>
      </c>
      <c r="B26" s="11" t="s">
        <v>89</v>
      </c>
      <c r="C26" s="12">
        <f>SUM(C19:C25)</f>
        <v>0</v>
      </c>
      <c r="D26" s="12">
        <f>SUM(D19:D25)</f>
        <v>0</v>
      </c>
      <c r="E26" s="12">
        <f>SUM(E19:E25)</f>
        <v>0</v>
      </c>
      <c r="F26" s="13" t="str">
        <f t="shared" si="0"/>
        <v/>
      </c>
      <c r="G26" s="13" t="str">
        <f t="shared" si="1"/>
        <v/>
      </c>
      <c r="H26" s="14" t="s">
        <v>80</v>
      </c>
      <c r="I26" s="14"/>
    </row>
    <row r="27" spans="1:9" x14ac:dyDescent="0.35">
      <c r="A27" s="8" t="s">
        <v>90</v>
      </c>
      <c r="B27" s="8" t="s">
        <v>91</v>
      </c>
      <c r="C27" s="9"/>
      <c r="D27" s="9"/>
      <c r="E27" s="9"/>
      <c r="F27" s="10" t="str">
        <f t="shared" si="0"/>
        <v/>
      </c>
      <c r="G27" s="10" t="str">
        <f t="shared" si="1"/>
        <v/>
      </c>
      <c r="H27" s="8" t="s">
        <v>65</v>
      </c>
      <c r="I27" s="8"/>
    </row>
    <row r="28" spans="1:9" x14ac:dyDescent="0.35">
      <c r="A28" s="8" t="s">
        <v>92</v>
      </c>
      <c r="B28" s="8" t="s">
        <v>93</v>
      </c>
      <c r="C28" s="9"/>
      <c r="D28" s="9"/>
      <c r="E28" s="9"/>
      <c r="F28" s="10" t="str">
        <f t="shared" si="0"/>
        <v/>
      </c>
      <c r="G28" s="10" t="str">
        <f t="shared" si="1"/>
        <v/>
      </c>
      <c r="H28" s="8" t="s">
        <v>63</v>
      </c>
      <c r="I28" s="8"/>
    </row>
    <row r="29" spans="1:9" x14ac:dyDescent="0.35">
      <c r="A29" s="8" t="s">
        <v>92</v>
      </c>
      <c r="B29" s="8" t="s">
        <v>94</v>
      </c>
      <c r="C29" s="9"/>
      <c r="D29" s="9"/>
      <c r="E29" s="9"/>
      <c r="F29" s="10" t="str">
        <f t="shared" si="0"/>
        <v/>
      </c>
      <c r="G29" s="10" t="str">
        <f t="shared" si="1"/>
        <v/>
      </c>
      <c r="H29" s="8" t="s">
        <v>65</v>
      </c>
      <c r="I29" s="8"/>
    </row>
    <row r="30" spans="1:9" x14ac:dyDescent="0.35">
      <c r="A30" s="8" t="s">
        <v>92</v>
      </c>
      <c r="B30" s="8" t="s">
        <v>95</v>
      </c>
      <c r="C30" s="9"/>
      <c r="D30" s="9"/>
      <c r="E30" s="9"/>
      <c r="F30" s="10" t="str">
        <f t="shared" si="0"/>
        <v/>
      </c>
      <c r="G30" s="10" t="str">
        <f t="shared" si="1"/>
        <v/>
      </c>
      <c r="H30" s="8" t="s">
        <v>63</v>
      </c>
      <c r="I30" s="8"/>
    </row>
    <row r="31" spans="1:9" x14ac:dyDescent="0.35">
      <c r="A31" s="8" t="s">
        <v>92</v>
      </c>
      <c r="B31" s="8" t="s">
        <v>96</v>
      </c>
      <c r="C31" s="9"/>
      <c r="D31" s="9"/>
      <c r="E31" s="9"/>
      <c r="F31" s="10" t="str">
        <f t="shared" si="0"/>
        <v/>
      </c>
      <c r="G31" s="10" t="str">
        <f t="shared" si="1"/>
        <v/>
      </c>
      <c r="H31" s="8" t="s">
        <v>63</v>
      </c>
      <c r="I31" s="8"/>
    </row>
    <row r="32" spans="1:9" x14ac:dyDescent="0.35">
      <c r="A32" s="8" t="s">
        <v>92</v>
      </c>
      <c r="B32" s="8" t="s">
        <v>97</v>
      </c>
      <c r="C32" s="9"/>
      <c r="D32" s="9"/>
      <c r="E32" s="9"/>
      <c r="F32" s="10" t="str">
        <f t="shared" si="0"/>
        <v/>
      </c>
      <c r="G32" s="10" t="str">
        <f t="shared" si="1"/>
        <v/>
      </c>
      <c r="H32" s="8" t="s">
        <v>65</v>
      </c>
      <c r="I32" s="8"/>
    </row>
    <row r="33" spans="1:9" x14ac:dyDescent="0.35">
      <c r="A33" s="8" t="s">
        <v>92</v>
      </c>
      <c r="B33" s="8" t="s">
        <v>98</v>
      </c>
      <c r="C33" s="9"/>
      <c r="D33" s="9"/>
      <c r="E33" s="9"/>
      <c r="F33" s="10" t="str">
        <f t="shared" si="0"/>
        <v/>
      </c>
      <c r="G33" s="10" t="str">
        <f t="shared" si="1"/>
        <v/>
      </c>
      <c r="H33" s="8" t="s">
        <v>65</v>
      </c>
      <c r="I33" s="8"/>
    </row>
    <row r="34" spans="1:9" x14ac:dyDescent="0.35">
      <c r="A34" s="11" t="s">
        <v>92</v>
      </c>
      <c r="B34" s="11" t="s">
        <v>99</v>
      </c>
      <c r="C34" s="12">
        <f>SUM(C28:C33)</f>
        <v>0</v>
      </c>
      <c r="D34" s="12">
        <f>SUM(D28:D33)</f>
        <v>0</v>
      </c>
      <c r="E34" s="12">
        <f>SUM(E28:E33)</f>
        <v>0</v>
      </c>
      <c r="F34" s="13" t="str">
        <f t="shared" si="0"/>
        <v/>
      </c>
      <c r="G34" s="13" t="str">
        <f t="shared" si="1"/>
        <v/>
      </c>
      <c r="H34" s="14" t="s">
        <v>80</v>
      </c>
      <c r="I34" s="14"/>
    </row>
    <row r="35" spans="1:9" x14ac:dyDescent="0.35">
      <c r="A35" s="11" t="s">
        <v>100</v>
      </c>
      <c r="B35" s="11" t="s">
        <v>101</v>
      </c>
      <c r="C35" s="12">
        <f>C26+C27+C34</f>
        <v>0</v>
      </c>
      <c r="D35" s="12">
        <f>D26+D27+D34</f>
        <v>0</v>
      </c>
      <c r="E35" s="12">
        <f>E26+E27+E34</f>
        <v>0</v>
      </c>
      <c r="F35" s="13" t="str">
        <f t="shared" si="0"/>
        <v/>
      </c>
      <c r="G35" s="13" t="str">
        <f t="shared" si="1"/>
        <v/>
      </c>
      <c r="H35" s="14" t="s">
        <v>80</v>
      </c>
      <c r="I35" s="14"/>
    </row>
  </sheetData>
  <mergeCells count="1">
    <mergeCell ref="A1:I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showGridLines="0" workbookViewId="0"/>
  </sheetViews>
  <sheetFormatPr defaultRowHeight="14.5" x14ac:dyDescent="0.35"/>
  <cols>
    <col min="1" max="1" width="20" customWidth="1"/>
    <col min="2" max="2" width="48" customWidth="1"/>
    <col min="3" max="5" width="15" customWidth="1"/>
    <col min="6" max="7" width="12" customWidth="1"/>
    <col min="8" max="8" width="14" customWidth="1"/>
    <col min="9" max="9" width="24" customWidth="1"/>
  </cols>
  <sheetData>
    <row r="1" spans="1:9" ht="17" x14ac:dyDescent="0.35">
      <c r="A1" s="29" t="s">
        <v>102</v>
      </c>
      <c r="B1" s="30"/>
      <c r="C1" s="30"/>
      <c r="D1" s="30"/>
      <c r="E1" s="30"/>
      <c r="F1" s="30"/>
      <c r="G1" s="30"/>
      <c r="H1" s="30"/>
      <c r="I1" s="30"/>
    </row>
    <row r="2" spans="1:9" x14ac:dyDescent="0.35">
      <c r="A2" s="3" t="s">
        <v>54</v>
      </c>
      <c r="B2" s="3" t="s">
        <v>103</v>
      </c>
      <c r="C2" s="3" t="s">
        <v>30</v>
      </c>
      <c r="D2" s="3" t="s">
        <v>56</v>
      </c>
      <c r="E2" s="3" t="s">
        <v>57</v>
      </c>
      <c r="F2" s="3" t="s">
        <v>58</v>
      </c>
      <c r="G2" s="3" t="s">
        <v>104</v>
      </c>
      <c r="H2" s="3" t="s">
        <v>60</v>
      </c>
      <c r="I2" s="3" t="s">
        <v>39</v>
      </c>
    </row>
    <row r="3" spans="1:9" x14ac:dyDescent="0.35">
      <c r="A3" s="8" t="s">
        <v>105</v>
      </c>
      <c r="B3" s="8" t="s">
        <v>106</v>
      </c>
      <c r="C3" s="15"/>
      <c r="D3" s="15"/>
      <c r="E3" s="15"/>
      <c r="F3" s="10" t="str">
        <f t="shared" ref="F3:F22" si="0">IFERROR((C3/D3)-1,"")</f>
        <v/>
      </c>
      <c r="G3" s="10" t="str">
        <f>IFERROR(C3/C3,"")</f>
        <v/>
      </c>
      <c r="H3" s="8" t="s">
        <v>63</v>
      </c>
      <c r="I3" s="8"/>
    </row>
    <row r="4" spans="1:9" x14ac:dyDescent="0.35">
      <c r="A4" s="8" t="s">
        <v>105</v>
      </c>
      <c r="B4" s="8" t="s">
        <v>107</v>
      </c>
      <c r="C4" s="15"/>
      <c r="D4" s="15"/>
      <c r="E4" s="15"/>
      <c r="F4" s="10" t="str">
        <f t="shared" si="0"/>
        <v/>
      </c>
      <c r="G4" s="10" t="str">
        <f>IFERROR(C4/C3,"")</f>
        <v/>
      </c>
      <c r="H4" s="8" t="s">
        <v>63</v>
      </c>
      <c r="I4" s="8"/>
    </row>
    <row r="5" spans="1:9" x14ac:dyDescent="0.35">
      <c r="A5" s="8" t="s">
        <v>105</v>
      </c>
      <c r="B5" s="8" t="s">
        <v>108</v>
      </c>
      <c r="C5" s="15"/>
      <c r="D5" s="15"/>
      <c r="E5" s="15"/>
      <c r="F5" s="10" t="str">
        <f t="shared" si="0"/>
        <v/>
      </c>
      <c r="G5" s="10" t="str">
        <f>IFERROR(C5/C3,"")</f>
        <v/>
      </c>
      <c r="H5" s="8" t="s">
        <v>63</v>
      </c>
      <c r="I5" s="8"/>
    </row>
    <row r="6" spans="1:9" x14ac:dyDescent="0.35">
      <c r="A6" s="11" t="s">
        <v>105</v>
      </c>
      <c r="B6" s="11" t="s">
        <v>109</v>
      </c>
      <c r="C6" s="12">
        <f>SUM(C3:C5)</f>
        <v>0</v>
      </c>
      <c r="D6" s="12">
        <f>SUM(D3:D5)</f>
        <v>0</v>
      </c>
      <c r="E6" s="12">
        <f>SUM(E3:E5)</f>
        <v>0</v>
      </c>
      <c r="F6" s="13" t="str">
        <f t="shared" si="0"/>
        <v/>
      </c>
      <c r="G6" s="13" t="str">
        <f>IFERROR(C6/C3,"")</f>
        <v/>
      </c>
      <c r="H6" s="14" t="s">
        <v>80</v>
      </c>
      <c r="I6" s="14"/>
    </row>
    <row r="7" spans="1:9" x14ac:dyDescent="0.35">
      <c r="A7" s="8" t="s">
        <v>110</v>
      </c>
      <c r="B7" s="8" t="s">
        <v>111</v>
      </c>
      <c r="C7" s="15"/>
      <c r="D7" s="15"/>
      <c r="E7" s="15"/>
      <c r="F7" s="10" t="str">
        <f t="shared" si="0"/>
        <v/>
      </c>
      <c r="G7" s="10" t="str">
        <f>IFERROR(C7/C22,"")</f>
        <v/>
      </c>
      <c r="H7" s="8" t="s">
        <v>63</v>
      </c>
      <c r="I7" s="8"/>
    </row>
    <row r="8" spans="1:9" x14ac:dyDescent="0.35">
      <c r="A8" s="8" t="s">
        <v>110</v>
      </c>
      <c r="B8" s="8" t="s">
        <v>112</v>
      </c>
      <c r="C8" s="15"/>
      <c r="D8" s="15"/>
      <c r="E8" s="15"/>
      <c r="F8" s="10" t="str">
        <f t="shared" si="0"/>
        <v/>
      </c>
      <c r="G8" s="10" t="str">
        <f>IFERROR(C8/C22,"")</f>
        <v/>
      </c>
      <c r="H8" s="8" t="s">
        <v>65</v>
      </c>
      <c r="I8" s="8"/>
    </row>
    <row r="9" spans="1:9" x14ac:dyDescent="0.35">
      <c r="A9" s="8" t="s">
        <v>110</v>
      </c>
      <c r="B9" s="8" t="s">
        <v>113</v>
      </c>
      <c r="C9" s="15"/>
      <c r="D9" s="15"/>
      <c r="E9" s="15"/>
      <c r="F9" s="10" t="str">
        <f t="shared" si="0"/>
        <v/>
      </c>
      <c r="G9" s="10" t="str">
        <f>IFERROR(C9/C22,"")</f>
        <v/>
      </c>
      <c r="H9" s="8" t="s">
        <v>65</v>
      </c>
      <c r="I9" s="8"/>
    </row>
    <row r="10" spans="1:9" x14ac:dyDescent="0.35">
      <c r="A10" s="8" t="s">
        <v>110</v>
      </c>
      <c r="B10" s="8" t="s">
        <v>114</v>
      </c>
      <c r="C10" s="15"/>
      <c r="D10" s="15"/>
      <c r="E10" s="15"/>
      <c r="F10" s="10" t="str">
        <f t="shared" si="0"/>
        <v/>
      </c>
      <c r="G10" s="10" t="str">
        <f>IFERROR(C10/C22,"")</f>
        <v/>
      </c>
      <c r="H10" s="8" t="s">
        <v>65</v>
      </c>
      <c r="I10" s="8"/>
    </row>
    <row r="11" spans="1:9" x14ac:dyDescent="0.35">
      <c r="A11" s="8" t="s">
        <v>110</v>
      </c>
      <c r="B11" s="8" t="s">
        <v>115</v>
      </c>
      <c r="C11" s="15"/>
      <c r="D11" s="15"/>
      <c r="E11" s="15"/>
      <c r="F11" s="10" t="str">
        <f t="shared" si="0"/>
        <v/>
      </c>
      <c r="G11" s="10" t="str">
        <f>IFERROR(C11/C22,"")</f>
        <v/>
      </c>
      <c r="H11" s="8" t="s">
        <v>65</v>
      </c>
      <c r="I11" s="8"/>
    </row>
    <row r="12" spans="1:9" x14ac:dyDescent="0.35">
      <c r="A12" s="8" t="s">
        <v>116</v>
      </c>
      <c r="B12" s="8" t="s">
        <v>117</v>
      </c>
      <c r="C12" s="15"/>
      <c r="D12" s="15"/>
      <c r="E12" s="15"/>
      <c r="F12" s="10" t="str">
        <f t="shared" si="0"/>
        <v/>
      </c>
      <c r="G12" s="10" t="str">
        <f>IFERROR(C12/C22,"")</f>
        <v/>
      </c>
      <c r="H12" s="8" t="s">
        <v>63</v>
      </c>
      <c r="I12" s="8"/>
    </row>
    <row r="13" spans="1:9" x14ac:dyDescent="0.35">
      <c r="A13" s="8" t="s">
        <v>116</v>
      </c>
      <c r="B13" s="8" t="s">
        <v>118</v>
      </c>
      <c r="C13" s="15"/>
      <c r="D13" s="15"/>
      <c r="E13" s="15"/>
      <c r="F13" s="10" t="str">
        <f t="shared" si="0"/>
        <v/>
      </c>
      <c r="G13" s="10" t="str">
        <f>IFERROR(C13/C22,"")</f>
        <v/>
      </c>
      <c r="H13" s="8" t="s">
        <v>65</v>
      </c>
      <c r="I13" s="8"/>
    </row>
    <row r="14" spans="1:9" x14ac:dyDescent="0.35">
      <c r="A14" s="11" t="s">
        <v>119</v>
      </c>
      <c r="B14" s="11" t="s">
        <v>120</v>
      </c>
      <c r="C14" s="12">
        <f>SUM(C6:C13)</f>
        <v>0</v>
      </c>
      <c r="D14" s="12">
        <f>SUM(D6:D13)</f>
        <v>0</v>
      </c>
      <c r="E14" s="12">
        <f>SUM(E6:E13)</f>
        <v>0</v>
      </c>
      <c r="F14" s="13" t="str">
        <f t="shared" si="0"/>
        <v/>
      </c>
      <c r="G14" s="13" t="str">
        <f>IFERROR(C14/C22,"")</f>
        <v/>
      </c>
      <c r="H14" s="14" t="s">
        <v>80</v>
      </c>
      <c r="I14" s="14"/>
    </row>
    <row r="15" spans="1:9" x14ac:dyDescent="0.35">
      <c r="A15" s="8" t="s">
        <v>119</v>
      </c>
      <c r="B15" s="8" t="s">
        <v>121</v>
      </c>
      <c r="C15" s="15"/>
      <c r="D15" s="15"/>
      <c r="E15" s="15"/>
      <c r="F15" s="10" t="str">
        <f t="shared" si="0"/>
        <v/>
      </c>
      <c r="G15" s="10" t="str">
        <f>IFERROR(C15/C22,"")</f>
        <v/>
      </c>
      <c r="H15" s="8" t="s">
        <v>63</v>
      </c>
      <c r="I15" s="8"/>
    </row>
    <row r="16" spans="1:9" x14ac:dyDescent="0.35">
      <c r="A16" s="11" t="s">
        <v>119</v>
      </c>
      <c r="B16" s="11" t="s">
        <v>122</v>
      </c>
      <c r="C16" s="12">
        <f>SUM(C14:C15)</f>
        <v>0</v>
      </c>
      <c r="D16" s="12">
        <f>SUM(D14:D15)</f>
        <v>0</v>
      </c>
      <c r="E16" s="12">
        <f>SUM(E14:E15)</f>
        <v>0</v>
      </c>
      <c r="F16" s="13" t="str">
        <f t="shared" si="0"/>
        <v/>
      </c>
      <c r="G16" s="13" t="str">
        <f>IFERROR(C16/C22,"")</f>
        <v/>
      </c>
      <c r="H16" s="14" t="s">
        <v>80</v>
      </c>
      <c r="I16" s="14"/>
    </row>
    <row r="17" spans="1:9" x14ac:dyDescent="0.35">
      <c r="A17" s="8" t="s">
        <v>123</v>
      </c>
      <c r="B17" s="8" t="s">
        <v>124</v>
      </c>
      <c r="C17" s="15"/>
      <c r="D17" s="15"/>
      <c r="E17" s="15"/>
      <c r="F17" s="10" t="str">
        <f t="shared" si="0"/>
        <v/>
      </c>
      <c r="G17" s="10" t="str">
        <f>IFERROR(C17/C22,"")</f>
        <v/>
      </c>
      <c r="H17" s="8" t="s">
        <v>65</v>
      </c>
      <c r="I17" s="8"/>
    </row>
    <row r="18" spans="1:9" x14ac:dyDescent="0.35">
      <c r="A18" s="8" t="s">
        <v>123</v>
      </c>
      <c r="B18" s="8" t="s">
        <v>125</v>
      </c>
      <c r="C18" s="15"/>
      <c r="D18" s="15"/>
      <c r="E18" s="15"/>
      <c r="F18" s="10" t="str">
        <f t="shared" si="0"/>
        <v/>
      </c>
      <c r="G18" s="10" t="str">
        <f>IFERROR(C18/C22,"")</f>
        <v/>
      </c>
      <c r="H18" s="8" t="s">
        <v>65</v>
      </c>
      <c r="I18" s="8"/>
    </row>
    <row r="19" spans="1:9" x14ac:dyDescent="0.35">
      <c r="A19" s="8" t="s">
        <v>123</v>
      </c>
      <c r="B19" s="8" t="s">
        <v>126</v>
      </c>
      <c r="C19" s="15"/>
      <c r="D19" s="15"/>
      <c r="E19" s="15"/>
      <c r="F19" s="10" t="str">
        <f t="shared" si="0"/>
        <v/>
      </c>
      <c r="G19" s="10" t="str">
        <f>IFERROR(C19/C22,"")</f>
        <v/>
      </c>
      <c r="H19" s="8" t="s">
        <v>65</v>
      </c>
      <c r="I19" s="8"/>
    </row>
    <row r="20" spans="1:9" x14ac:dyDescent="0.35">
      <c r="A20" s="11" t="s">
        <v>123</v>
      </c>
      <c r="B20" s="11" t="s">
        <v>127</v>
      </c>
      <c r="C20" s="12">
        <f>SUM(C17:C19)</f>
        <v>0</v>
      </c>
      <c r="D20" s="12">
        <f>SUM(D17:D19)</f>
        <v>0</v>
      </c>
      <c r="E20" s="12">
        <f>SUM(E17:E19)</f>
        <v>0</v>
      </c>
      <c r="F20" s="13" t="str">
        <f t="shared" si="0"/>
        <v/>
      </c>
      <c r="G20" s="13" t="str">
        <f>IFERROR(C20/C22,"")</f>
        <v/>
      </c>
      <c r="H20" s="14" t="s">
        <v>80</v>
      </c>
      <c r="I20" s="14"/>
    </row>
    <row r="21" spans="1:9" x14ac:dyDescent="0.35">
      <c r="A21" s="11" t="s">
        <v>123</v>
      </c>
      <c r="B21" s="11" t="s">
        <v>128</v>
      </c>
      <c r="C21" s="12">
        <f>C16+C20</f>
        <v>0</v>
      </c>
      <c r="D21" s="12">
        <f>D16+D20</f>
        <v>0</v>
      </c>
      <c r="E21" s="12">
        <f>E16+E20</f>
        <v>0</v>
      </c>
      <c r="F21" s="13" t="str">
        <f t="shared" si="0"/>
        <v/>
      </c>
      <c r="G21" s="13" t="str">
        <f>IFERROR(C21/C22,"")</f>
        <v/>
      </c>
      <c r="H21" s="14" t="s">
        <v>80</v>
      </c>
      <c r="I21" s="14"/>
    </row>
    <row r="22" spans="1:9" x14ac:dyDescent="0.35">
      <c r="A22" s="11" t="s">
        <v>100</v>
      </c>
      <c r="B22" s="11" t="s">
        <v>129</v>
      </c>
      <c r="C22" s="12">
        <f>SUM(C3,C7:C11)</f>
        <v>0</v>
      </c>
      <c r="D22" s="12">
        <f>SUM(D3,D7:D11)</f>
        <v>0</v>
      </c>
      <c r="E22" s="12">
        <f>SUM(E3,E7:E11)</f>
        <v>0</v>
      </c>
      <c r="F22" s="13" t="str">
        <f t="shared" si="0"/>
        <v/>
      </c>
      <c r="G22" s="13" t="str">
        <f>IFERROR(C22/C22,"")</f>
        <v/>
      </c>
      <c r="H22" s="14" t="s">
        <v>80</v>
      </c>
      <c r="I22" s="14"/>
    </row>
  </sheetData>
  <mergeCells count="1">
    <mergeCell ref="A1:I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showGridLines="0" workbookViewId="0"/>
  </sheetViews>
  <sheetFormatPr defaultRowHeight="14.5" x14ac:dyDescent="0.35"/>
  <cols>
    <col min="1" max="1" width="14" customWidth="1"/>
    <col min="2" max="2" width="48" customWidth="1"/>
    <col min="3" max="5" width="15" customWidth="1"/>
    <col min="6" max="7" width="12" customWidth="1"/>
    <col min="8" max="8" width="20" customWidth="1"/>
  </cols>
  <sheetData>
    <row r="1" spans="1:8" ht="17" x14ac:dyDescent="0.35">
      <c r="A1" s="29" t="s">
        <v>130</v>
      </c>
      <c r="B1" s="30"/>
      <c r="C1" s="30"/>
      <c r="D1" s="30"/>
      <c r="E1" s="30"/>
      <c r="F1" s="30"/>
      <c r="G1" s="30"/>
      <c r="H1" s="30"/>
    </row>
    <row r="2" spans="1:8" x14ac:dyDescent="0.35">
      <c r="A2" s="3" t="s">
        <v>54</v>
      </c>
      <c r="B2" s="3" t="s">
        <v>131</v>
      </c>
      <c r="C2" s="3" t="s">
        <v>30</v>
      </c>
      <c r="D2" s="3" t="s">
        <v>56</v>
      </c>
      <c r="E2" s="3" t="s">
        <v>57</v>
      </c>
      <c r="F2" s="3" t="s">
        <v>58</v>
      </c>
      <c r="G2" s="3" t="s">
        <v>132</v>
      </c>
      <c r="H2" s="3" t="s">
        <v>133</v>
      </c>
    </row>
    <row r="3" spans="1:8" x14ac:dyDescent="0.35">
      <c r="A3" s="8" t="s">
        <v>134</v>
      </c>
      <c r="B3" s="8" t="s">
        <v>135</v>
      </c>
      <c r="C3" s="15"/>
      <c r="D3" s="15"/>
      <c r="E3" s="15"/>
      <c r="F3" s="10" t="str">
        <f t="shared" ref="F3:F8" si="0">IFERROR((C3/D3)-1,"")</f>
        <v/>
      </c>
      <c r="G3" s="10" t="str">
        <f>IFERROR(C3/Input_PL_OCI!C16,"")</f>
        <v/>
      </c>
      <c r="H3" s="8"/>
    </row>
    <row r="4" spans="1:8" x14ac:dyDescent="0.35">
      <c r="A4" s="8" t="s">
        <v>136</v>
      </c>
      <c r="B4" s="8" t="s">
        <v>137</v>
      </c>
      <c r="C4" s="15"/>
      <c r="D4" s="15"/>
      <c r="E4" s="15"/>
      <c r="F4" s="10" t="str">
        <f t="shared" si="0"/>
        <v/>
      </c>
      <c r="G4" s="10" t="str">
        <f>IFERROR(C4/Input_PL_OCI!C16,"")</f>
        <v/>
      </c>
      <c r="H4" s="8"/>
    </row>
    <row r="5" spans="1:8" x14ac:dyDescent="0.35">
      <c r="A5" s="8" t="s">
        <v>138</v>
      </c>
      <c r="B5" s="8" t="s">
        <v>139</v>
      </c>
      <c r="C5" s="15"/>
      <c r="D5" s="15"/>
      <c r="E5" s="15"/>
      <c r="F5" s="10" t="str">
        <f t="shared" si="0"/>
        <v/>
      </c>
      <c r="G5" s="10" t="str">
        <f>IFERROR(C5/Input_PL_OCI!C16,"")</f>
        <v/>
      </c>
      <c r="H5" s="8"/>
    </row>
    <row r="6" spans="1:8" x14ac:dyDescent="0.35">
      <c r="A6" s="11" t="s">
        <v>140</v>
      </c>
      <c r="B6" s="11" t="s">
        <v>141</v>
      </c>
      <c r="C6" s="12">
        <f>SUM(C3:C5)</f>
        <v>0</v>
      </c>
      <c r="D6" s="12">
        <f>SUM(D3:D5)</f>
        <v>0</v>
      </c>
      <c r="E6" s="12">
        <f>SUM(E3:E5)</f>
        <v>0</v>
      </c>
      <c r="F6" s="13" t="str">
        <f t="shared" si="0"/>
        <v/>
      </c>
      <c r="G6" s="13" t="str">
        <f>IFERROR(C6/Input_PL_OCI!C16,"")</f>
        <v/>
      </c>
      <c r="H6" s="14"/>
    </row>
    <row r="7" spans="1:8" x14ac:dyDescent="0.35">
      <c r="A7" s="8" t="s">
        <v>142</v>
      </c>
      <c r="B7" s="8" t="s">
        <v>143</v>
      </c>
      <c r="C7" s="15"/>
      <c r="D7" s="15"/>
      <c r="E7" s="15"/>
      <c r="F7" s="10" t="str">
        <f t="shared" si="0"/>
        <v/>
      </c>
      <c r="G7" s="10" t="str">
        <f>IFERROR(C7/Input_PL_OCI!C16,"")</f>
        <v/>
      </c>
      <c r="H7" s="8"/>
    </row>
    <row r="8" spans="1:8" x14ac:dyDescent="0.35">
      <c r="A8" s="11" t="s">
        <v>142</v>
      </c>
      <c r="B8" s="11" t="s">
        <v>144</v>
      </c>
      <c r="C8" s="12">
        <f>C7+C6</f>
        <v>0</v>
      </c>
      <c r="D8" s="12">
        <f>D7+D6</f>
        <v>0</v>
      </c>
      <c r="E8" s="12">
        <f>E7+E6</f>
        <v>0</v>
      </c>
      <c r="F8" s="13" t="str">
        <f t="shared" si="0"/>
        <v/>
      </c>
      <c r="G8" s="13" t="str">
        <f>IFERROR(C8/Input_PL_OCI!C16,"")</f>
        <v/>
      </c>
      <c r="H8" s="14"/>
    </row>
  </sheetData>
  <mergeCells count="1">
    <mergeCell ref="A1:H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2"/>
  <sheetViews>
    <sheetView showGridLines="0" workbookViewId="0"/>
  </sheetViews>
  <sheetFormatPr defaultRowHeight="14.5" x14ac:dyDescent="0.35"/>
  <cols>
    <col min="1" max="1" width="18" customWidth="1"/>
    <col min="2" max="2" width="54" customWidth="1"/>
    <col min="3" max="5" width="15" customWidth="1"/>
    <col min="6" max="6" width="12" customWidth="1"/>
    <col min="7" max="7" width="16" customWidth="1"/>
    <col min="8" max="8" width="18" customWidth="1"/>
    <col min="9" max="9" width="14" customWidth="1"/>
    <col min="10" max="10" width="22" customWidth="1"/>
  </cols>
  <sheetData>
    <row r="1" spans="1:10" ht="17" x14ac:dyDescent="0.35">
      <c r="A1" s="29" t="s">
        <v>145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x14ac:dyDescent="0.35">
      <c r="A2" s="3" t="s">
        <v>146</v>
      </c>
      <c r="B2" s="3" t="s">
        <v>147</v>
      </c>
      <c r="C2" s="3" t="s">
        <v>30</v>
      </c>
      <c r="D2" s="3" t="s">
        <v>56</v>
      </c>
      <c r="E2" s="3" t="s">
        <v>57</v>
      </c>
      <c r="F2" s="3" t="s">
        <v>58</v>
      </c>
      <c r="G2" s="3" t="s">
        <v>148</v>
      </c>
      <c r="H2" s="3" t="s">
        <v>149</v>
      </c>
      <c r="I2" s="3" t="s">
        <v>60</v>
      </c>
      <c r="J2" s="3" t="s">
        <v>39</v>
      </c>
    </row>
    <row r="3" spans="1:10" x14ac:dyDescent="0.35">
      <c r="A3" s="8" t="s">
        <v>150</v>
      </c>
      <c r="B3" s="8" t="s">
        <v>151</v>
      </c>
      <c r="C3" s="15"/>
      <c r="D3" s="15"/>
      <c r="E3" s="15"/>
      <c r="F3" s="10" t="str">
        <f t="shared" ref="F3:F32" si="0">IFERROR((C3/D3)-1,"")</f>
        <v/>
      </c>
      <c r="G3" s="16" t="s">
        <v>152</v>
      </c>
      <c r="H3" s="8"/>
      <c r="I3" s="8" t="s">
        <v>63</v>
      </c>
      <c r="J3" s="8"/>
    </row>
    <row r="4" spans="1:10" x14ac:dyDescent="0.35">
      <c r="A4" s="8" t="s">
        <v>150</v>
      </c>
      <c r="B4" s="8" t="s">
        <v>153</v>
      </c>
      <c r="C4" s="15"/>
      <c r="D4" s="15"/>
      <c r="E4" s="15"/>
      <c r="F4" s="10" t="str">
        <f t="shared" si="0"/>
        <v/>
      </c>
      <c r="G4" s="16" t="s">
        <v>154</v>
      </c>
      <c r="H4" s="8"/>
      <c r="I4" s="8" t="s">
        <v>63</v>
      </c>
      <c r="J4" s="8"/>
    </row>
    <row r="5" spans="1:10" x14ac:dyDescent="0.35">
      <c r="A5" s="8" t="s">
        <v>150</v>
      </c>
      <c r="B5" s="8" t="s">
        <v>155</v>
      </c>
      <c r="C5" s="15"/>
      <c r="D5" s="15"/>
      <c r="E5" s="15"/>
      <c r="F5" s="10" t="str">
        <f t="shared" si="0"/>
        <v/>
      </c>
      <c r="G5" s="16" t="s">
        <v>156</v>
      </c>
      <c r="H5" s="8"/>
      <c r="I5" s="8" t="s">
        <v>63</v>
      </c>
      <c r="J5" s="8"/>
    </row>
    <row r="6" spans="1:10" x14ac:dyDescent="0.35">
      <c r="A6" s="8" t="s">
        <v>150</v>
      </c>
      <c r="B6" s="8" t="s">
        <v>157</v>
      </c>
      <c r="C6" s="15"/>
      <c r="D6" s="15"/>
      <c r="E6" s="15"/>
      <c r="F6" s="10" t="str">
        <f t="shared" si="0"/>
        <v/>
      </c>
      <c r="G6" s="16" t="s">
        <v>158</v>
      </c>
      <c r="H6" s="8"/>
      <c r="I6" s="8" t="s">
        <v>63</v>
      </c>
      <c r="J6" s="8"/>
    </row>
    <row r="7" spans="1:10" x14ac:dyDescent="0.35">
      <c r="A7" s="8" t="s">
        <v>150</v>
      </c>
      <c r="B7" s="8" t="s">
        <v>159</v>
      </c>
      <c r="C7" s="15"/>
      <c r="D7" s="15"/>
      <c r="E7" s="15"/>
      <c r="F7" s="10" t="str">
        <f t="shared" si="0"/>
        <v/>
      </c>
      <c r="G7" s="16" t="s">
        <v>160</v>
      </c>
      <c r="H7" s="8"/>
      <c r="I7" s="8" t="s">
        <v>63</v>
      </c>
      <c r="J7" s="8"/>
    </row>
    <row r="8" spans="1:10" x14ac:dyDescent="0.35">
      <c r="A8" s="8" t="s">
        <v>150</v>
      </c>
      <c r="B8" s="8" t="s">
        <v>161</v>
      </c>
      <c r="C8" s="15"/>
      <c r="D8" s="15"/>
      <c r="E8" s="15"/>
      <c r="F8" s="10" t="str">
        <f t="shared" si="0"/>
        <v/>
      </c>
      <c r="G8" s="16" t="s">
        <v>162</v>
      </c>
      <c r="H8" s="8"/>
      <c r="I8" s="8" t="s">
        <v>65</v>
      </c>
      <c r="J8" s="8"/>
    </row>
    <row r="9" spans="1:10" x14ac:dyDescent="0.35">
      <c r="A9" s="11" t="s">
        <v>150</v>
      </c>
      <c r="B9" s="11" t="s">
        <v>109</v>
      </c>
      <c r="C9" s="12">
        <f>SUM(C3:C8)</f>
        <v>0</v>
      </c>
      <c r="D9" s="12">
        <f>SUM(D3:D8)</f>
        <v>0</v>
      </c>
      <c r="E9" s="12">
        <f>SUM(E3:E8)</f>
        <v>0</v>
      </c>
      <c r="F9" s="13" t="str">
        <f t="shared" si="0"/>
        <v/>
      </c>
      <c r="G9" s="12" t="s">
        <v>163</v>
      </c>
      <c r="H9" s="14"/>
      <c r="I9" s="14" t="s">
        <v>80</v>
      </c>
      <c r="J9" s="14"/>
    </row>
    <row r="10" spans="1:10" x14ac:dyDescent="0.35">
      <c r="A10" s="8" t="s">
        <v>164</v>
      </c>
      <c r="B10" s="8" t="s">
        <v>165</v>
      </c>
      <c r="C10" s="15"/>
      <c r="D10" s="15"/>
      <c r="E10" s="15"/>
      <c r="F10" s="10" t="str">
        <f t="shared" si="0"/>
        <v/>
      </c>
      <c r="G10" s="16" t="s">
        <v>166</v>
      </c>
      <c r="H10" s="8"/>
      <c r="I10" s="8" t="s">
        <v>65</v>
      </c>
      <c r="J10" s="8"/>
    </row>
    <row r="11" spans="1:10" x14ac:dyDescent="0.35">
      <c r="A11" s="8" t="s">
        <v>164</v>
      </c>
      <c r="B11" s="8" t="s">
        <v>167</v>
      </c>
      <c r="C11" s="15"/>
      <c r="D11" s="15"/>
      <c r="E11" s="15"/>
      <c r="F11" s="10" t="str">
        <f t="shared" si="0"/>
        <v/>
      </c>
      <c r="G11" s="16" t="s">
        <v>168</v>
      </c>
      <c r="H11" s="8"/>
      <c r="I11" s="8" t="s">
        <v>65</v>
      </c>
      <c r="J11" s="8"/>
    </row>
    <row r="12" spans="1:10" x14ac:dyDescent="0.35">
      <c r="A12" s="11" t="s">
        <v>164</v>
      </c>
      <c r="B12" s="11" t="s">
        <v>169</v>
      </c>
      <c r="C12" s="12">
        <f>C9+SUM(C10:C11)</f>
        <v>0</v>
      </c>
      <c r="D12" s="12">
        <f>D9+SUM(D10:D11)</f>
        <v>0</v>
      </c>
      <c r="E12" s="12">
        <f>E9+SUM(E10:E11)</f>
        <v>0</v>
      </c>
      <c r="F12" s="13" t="str">
        <f t="shared" si="0"/>
        <v/>
      </c>
      <c r="G12" s="12" t="s">
        <v>170</v>
      </c>
      <c r="H12" s="14"/>
      <c r="I12" s="14" t="s">
        <v>80</v>
      </c>
      <c r="J12" s="14"/>
    </row>
    <row r="13" spans="1:10" x14ac:dyDescent="0.35">
      <c r="A13" s="8" t="s">
        <v>171</v>
      </c>
      <c r="B13" s="8" t="s">
        <v>172</v>
      </c>
      <c r="C13" s="15"/>
      <c r="D13" s="15"/>
      <c r="E13" s="15"/>
      <c r="F13" s="10" t="str">
        <f t="shared" si="0"/>
        <v/>
      </c>
      <c r="G13" s="16" t="s">
        <v>173</v>
      </c>
      <c r="H13" s="8"/>
      <c r="I13" s="8" t="s">
        <v>63</v>
      </c>
      <c r="J13" s="8"/>
    </row>
    <row r="14" spans="1:10" x14ac:dyDescent="0.35">
      <c r="A14" s="8" t="s">
        <v>171</v>
      </c>
      <c r="B14" s="8" t="s">
        <v>174</v>
      </c>
      <c r="C14" s="15"/>
      <c r="D14" s="15"/>
      <c r="E14" s="15"/>
      <c r="F14" s="10" t="str">
        <f t="shared" si="0"/>
        <v/>
      </c>
      <c r="G14" s="16" t="s">
        <v>175</v>
      </c>
      <c r="H14" s="8"/>
      <c r="I14" s="8" t="s">
        <v>63</v>
      </c>
      <c r="J14" s="8"/>
    </row>
    <row r="15" spans="1:10" x14ac:dyDescent="0.35">
      <c r="A15" s="8" t="s">
        <v>171</v>
      </c>
      <c r="B15" s="8" t="s">
        <v>176</v>
      </c>
      <c r="C15" s="15"/>
      <c r="D15" s="15"/>
      <c r="E15" s="15"/>
      <c r="F15" s="10" t="str">
        <f t="shared" si="0"/>
        <v/>
      </c>
      <c r="G15" s="16" t="s">
        <v>177</v>
      </c>
      <c r="H15" s="8"/>
      <c r="I15" s="8" t="s">
        <v>65</v>
      </c>
      <c r="J15" s="8"/>
    </row>
    <row r="16" spans="1:10" x14ac:dyDescent="0.35">
      <c r="A16" s="8" t="s">
        <v>171</v>
      </c>
      <c r="B16" s="8" t="s">
        <v>178</v>
      </c>
      <c r="C16" s="15"/>
      <c r="D16" s="15"/>
      <c r="E16" s="15"/>
      <c r="F16" s="10" t="str">
        <f t="shared" si="0"/>
        <v/>
      </c>
      <c r="G16" s="16" t="s">
        <v>179</v>
      </c>
      <c r="H16" s="8"/>
      <c r="I16" s="8" t="s">
        <v>63</v>
      </c>
      <c r="J16" s="8"/>
    </row>
    <row r="17" spans="1:10" x14ac:dyDescent="0.35">
      <c r="A17" s="8" t="s">
        <v>171</v>
      </c>
      <c r="B17" s="8" t="s">
        <v>180</v>
      </c>
      <c r="C17" s="15"/>
      <c r="D17" s="15"/>
      <c r="E17" s="15"/>
      <c r="F17" s="10" t="str">
        <f t="shared" si="0"/>
        <v/>
      </c>
      <c r="G17" s="16" t="s">
        <v>181</v>
      </c>
      <c r="H17" s="8"/>
      <c r="I17" s="8" t="s">
        <v>63</v>
      </c>
      <c r="J17" s="8"/>
    </row>
    <row r="18" spans="1:10" x14ac:dyDescent="0.35">
      <c r="A18" s="8" t="s">
        <v>171</v>
      </c>
      <c r="B18" s="8" t="s">
        <v>182</v>
      </c>
      <c r="C18" s="15"/>
      <c r="D18" s="15"/>
      <c r="E18" s="15"/>
      <c r="F18" s="10" t="str">
        <f t="shared" si="0"/>
        <v/>
      </c>
      <c r="G18" s="16" t="s">
        <v>162</v>
      </c>
      <c r="H18" s="8"/>
      <c r="I18" s="8" t="s">
        <v>65</v>
      </c>
      <c r="J18" s="8"/>
    </row>
    <row r="19" spans="1:10" x14ac:dyDescent="0.35">
      <c r="A19" s="8" t="s">
        <v>171</v>
      </c>
      <c r="B19" s="8" t="s">
        <v>183</v>
      </c>
      <c r="C19" s="15"/>
      <c r="D19" s="15"/>
      <c r="E19" s="15"/>
      <c r="F19" s="10" t="str">
        <f t="shared" si="0"/>
        <v/>
      </c>
      <c r="G19" s="16" t="s">
        <v>184</v>
      </c>
      <c r="H19" s="8"/>
      <c r="I19" s="8" t="s">
        <v>63</v>
      </c>
      <c r="J19" s="8"/>
    </row>
    <row r="20" spans="1:10" x14ac:dyDescent="0.35">
      <c r="A20" s="8" t="s">
        <v>185</v>
      </c>
      <c r="B20" s="8" t="s">
        <v>186</v>
      </c>
      <c r="C20" s="15"/>
      <c r="D20" s="15"/>
      <c r="E20" s="15"/>
      <c r="F20" s="10" t="str">
        <f t="shared" si="0"/>
        <v/>
      </c>
      <c r="G20" s="16" t="s">
        <v>187</v>
      </c>
      <c r="H20" s="8"/>
      <c r="I20" s="8" t="s">
        <v>63</v>
      </c>
      <c r="J20" s="8"/>
    </row>
    <row r="21" spans="1:10" x14ac:dyDescent="0.35">
      <c r="A21" s="8" t="s">
        <v>185</v>
      </c>
      <c r="B21" s="8" t="s">
        <v>188</v>
      </c>
      <c r="C21" s="15"/>
      <c r="D21" s="15"/>
      <c r="E21" s="15"/>
      <c r="F21" s="10" t="str">
        <f t="shared" si="0"/>
        <v/>
      </c>
      <c r="G21" s="16" t="s">
        <v>189</v>
      </c>
      <c r="H21" s="8"/>
      <c r="I21" s="8" t="s">
        <v>63</v>
      </c>
      <c r="J21" s="8"/>
    </row>
    <row r="22" spans="1:10" x14ac:dyDescent="0.35">
      <c r="A22" s="8" t="s">
        <v>190</v>
      </c>
      <c r="B22" s="8" t="s">
        <v>191</v>
      </c>
      <c r="C22" s="15"/>
      <c r="D22" s="15"/>
      <c r="E22" s="15"/>
      <c r="F22" s="10" t="str">
        <f t="shared" si="0"/>
        <v/>
      </c>
      <c r="G22" s="16" t="s">
        <v>192</v>
      </c>
      <c r="H22" s="8"/>
      <c r="I22" s="8" t="s">
        <v>65</v>
      </c>
      <c r="J22" s="8"/>
    </row>
    <row r="23" spans="1:10" x14ac:dyDescent="0.35">
      <c r="A23" s="8" t="s">
        <v>193</v>
      </c>
      <c r="B23" s="8" t="s">
        <v>194</v>
      </c>
      <c r="C23" s="15"/>
      <c r="D23" s="15"/>
      <c r="E23" s="15"/>
      <c r="F23" s="10" t="str">
        <f t="shared" si="0"/>
        <v/>
      </c>
      <c r="G23" s="16" t="s">
        <v>195</v>
      </c>
      <c r="H23" s="8"/>
      <c r="I23" s="8" t="s">
        <v>65</v>
      </c>
      <c r="J23" s="8"/>
    </row>
    <row r="24" spans="1:10" x14ac:dyDescent="0.35">
      <c r="A24" s="8" t="s">
        <v>196</v>
      </c>
      <c r="B24" s="8" t="s">
        <v>197</v>
      </c>
      <c r="C24" s="15"/>
      <c r="D24" s="15"/>
      <c r="E24" s="15"/>
      <c r="F24" s="10" t="str">
        <f t="shared" si="0"/>
        <v/>
      </c>
      <c r="G24" s="16" t="s">
        <v>198</v>
      </c>
      <c r="H24" s="8"/>
      <c r="I24" s="8" t="s">
        <v>65</v>
      </c>
      <c r="J24" s="8"/>
    </row>
    <row r="25" spans="1:10" x14ac:dyDescent="0.35">
      <c r="A25" s="8" t="s">
        <v>196</v>
      </c>
      <c r="B25" s="8" t="s">
        <v>199</v>
      </c>
      <c r="C25" s="15"/>
      <c r="D25" s="15"/>
      <c r="E25" s="15"/>
      <c r="F25" s="10" t="str">
        <f t="shared" si="0"/>
        <v/>
      </c>
      <c r="G25" s="16" t="s">
        <v>200</v>
      </c>
      <c r="H25" s="8"/>
      <c r="I25" s="8" t="s">
        <v>65</v>
      </c>
      <c r="J25" s="8"/>
    </row>
    <row r="26" spans="1:10" x14ac:dyDescent="0.35">
      <c r="A26" s="11" t="s">
        <v>201</v>
      </c>
      <c r="B26" s="11" t="s">
        <v>202</v>
      </c>
      <c r="C26" s="12" t="str">
        <f>IFERROR(C25/C24,"")</f>
        <v/>
      </c>
      <c r="D26" s="12" t="str">
        <f>IFERROR(D25/D24,"")</f>
        <v/>
      </c>
      <c r="E26" s="12" t="str">
        <f>IFERROR(E25/E24,"")</f>
        <v/>
      </c>
      <c r="F26" s="13" t="str">
        <f t="shared" si="0"/>
        <v/>
      </c>
      <c r="G26" s="12" t="s">
        <v>203</v>
      </c>
      <c r="H26" s="14"/>
      <c r="I26" s="14" t="s">
        <v>80</v>
      </c>
      <c r="J26" s="14"/>
    </row>
    <row r="27" spans="1:10" x14ac:dyDescent="0.35">
      <c r="A27" s="8" t="s">
        <v>201</v>
      </c>
      <c r="B27" s="8" t="s">
        <v>204</v>
      </c>
      <c r="C27" s="15">
        <f>SUM(C6:C8)</f>
        <v>0</v>
      </c>
      <c r="D27" s="15">
        <f>SUM(D6:D8)</f>
        <v>0</v>
      </c>
      <c r="E27" s="15">
        <f>SUM(E6:E8)</f>
        <v>0</v>
      </c>
      <c r="F27" s="10" t="str">
        <f t="shared" si="0"/>
        <v/>
      </c>
      <c r="G27" s="16" t="s">
        <v>160</v>
      </c>
      <c r="H27" s="8"/>
      <c r="I27" s="8" t="s">
        <v>80</v>
      </c>
      <c r="J27" s="8"/>
    </row>
    <row r="28" spans="1:10" x14ac:dyDescent="0.35">
      <c r="A28" s="8" t="s">
        <v>201</v>
      </c>
      <c r="B28" s="8" t="s">
        <v>205</v>
      </c>
      <c r="C28" s="15" t="str">
        <f>IFERROR(ABS((C4-C5)/C3),"")</f>
        <v/>
      </c>
      <c r="D28" s="15" t="str">
        <f>IFERROR(ABS((D4-D5)/D3),"")</f>
        <v/>
      </c>
      <c r="E28" s="15" t="str">
        <f>IFERROR(ABS((E4-E5)/E3),"")</f>
        <v/>
      </c>
      <c r="F28" s="10" t="str">
        <f t="shared" si="0"/>
        <v/>
      </c>
      <c r="G28" s="16" t="s">
        <v>206</v>
      </c>
      <c r="H28" s="8"/>
      <c r="I28" s="8" t="s">
        <v>80</v>
      </c>
      <c r="J28" s="8"/>
    </row>
    <row r="29" spans="1:10" x14ac:dyDescent="0.35">
      <c r="A29" s="8" t="s">
        <v>201</v>
      </c>
      <c r="B29" s="8" t="s">
        <v>207</v>
      </c>
      <c r="C29" s="15" t="str">
        <f>IFERROR(ABS(C27/C3),"")</f>
        <v/>
      </c>
      <c r="D29" s="15" t="str">
        <f>IFERROR(ABS(D27/D3),"")</f>
        <v/>
      </c>
      <c r="E29" s="15" t="str">
        <f>IFERROR(ABS(E27/E3),"")</f>
        <v/>
      </c>
      <c r="F29" s="10" t="str">
        <f t="shared" si="0"/>
        <v/>
      </c>
      <c r="G29" s="16" t="s">
        <v>208</v>
      </c>
      <c r="H29" s="8"/>
      <c r="I29" s="8" t="s">
        <v>80</v>
      </c>
      <c r="J29" s="8"/>
    </row>
    <row r="30" spans="1:10" x14ac:dyDescent="0.35">
      <c r="A30" s="8" t="s">
        <v>201</v>
      </c>
      <c r="B30" s="8" t="s">
        <v>209</v>
      </c>
      <c r="C30" s="17" t="str">
        <f>IFERROR(C28+C29,"")</f>
        <v/>
      </c>
      <c r="D30" s="17" t="str">
        <f>IFERROR(D28+D29,"")</f>
        <v/>
      </c>
      <c r="E30" s="17" t="str">
        <f>IFERROR(E28+E29,"")</f>
        <v/>
      </c>
      <c r="F30" s="10" t="str">
        <f t="shared" si="0"/>
        <v/>
      </c>
      <c r="G30" s="16" t="s">
        <v>210</v>
      </c>
      <c r="H30" s="8"/>
      <c r="I30" s="8" t="s">
        <v>80</v>
      </c>
      <c r="J30" s="8"/>
    </row>
    <row r="31" spans="1:10" x14ac:dyDescent="0.35">
      <c r="A31" s="8" t="s">
        <v>201</v>
      </c>
      <c r="B31" s="8" t="s">
        <v>211</v>
      </c>
      <c r="C31" s="17" t="str">
        <f>IFERROR((C20+C21)/Input_SFP!C34,"")</f>
        <v/>
      </c>
      <c r="D31" s="17" t="str">
        <f>IFERROR((D20+D21)/Input_SFP!D34,"")</f>
        <v/>
      </c>
      <c r="E31" s="17" t="str">
        <f>IFERROR((E20+E21)/Input_SFP!E34,"")</f>
        <v/>
      </c>
      <c r="F31" s="10" t="str">
        <f t="shared" si="0"/>
        <v/>
      </c>
      <c r="G31" s="16" t="s">
        <v>212</v>
      </c>
      <c r="H31" s="8"/>
      <c r="I31" s="8" t="s">
        <v>80</v>
      </c>
      <c r="J31" s="8"/>
    </row>
    <row r="32" spans="1:10" x14ac:dyDescent="0.35">
      <c r="A32" s="8" t="s">
        <v>201</v>
      </c>
      <c r="B32" s="8" t="s">
        <v>213</v>
      </c>
      <c r="C32" s="17" t="str">
        <f>IFERROR(C14/Input_SFP!C34,"")</f>
        <v/>
      </c>
      <c r="D32" s="17" t="str">
        <f>IFERROR(D14/Input_SFP!D34,"")</f>
        <v/>
      </c>
      <c r="E32" s="17" t="str">
        <f>IFERROR(E14/Input_SFP!E34,"")</f>
        <v/>
      </c>
      <c r="F32" s="10" t="str">
        <f t="shared" si="0"/>
        <v/>
      </c>
      <c r="G32" s="16" t="s">
        <v>214</v>
      </c>
      <c r="H32" s="8"/>
      <c r="I32" s="8" t="s">
        <v>80</v>
      </c>
      <c r="J32" s="8"/>
    </row>
  </sheetData>
  <mergeCells count="1">
    <mergeCell ref="A1:J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6"/>
  <sheetViews>
    <sheetView showGridLines="0" workbookViewId="0"/>
  </sheetViews>
  <sheetFormatPr defaultRowHeight="14.5" x14ac:dyDescent="0.35"/>
  <cols>
    <col min="1" max="1" width="16" customWidth="1"/>
    <col min="2" max="2" width="46" customWidth="1"/>
    <col min="3" max="5" width="15" customWidth="1"/>
    <col min="6" max="7" width="12" customWidth="1"/>
    <col min="8" max="8" width="10" customWidth="1"/>
    <col min="9" max="9" width="14" customWidth="1"/>
    <col min="10" max="10" width="22" customWidth="1"/>
    <col min="11" max="11" width="14" customWidth="1"/>
  </cols>
  <sheetData>
    <row r="1" spans="1:11" ht="17" x14ac:dyDescent="0.35">
      <c r="A1" s="29" t="s">
        <v>215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x14ac:dyDescent="0.35">
      <c r="A2" s="3" t="s">
        <v>146</v>
      </c>
      <c r="B2" s="3" t="s">
        <v>147</v>
      </c>
      <c r="C2" s="3" t="s">
        <v>30</v>
      </c>
      <c r="D2" s="3" t="s">
        <v>56</v>
      </c>
      <c r="E2" s="3" t="s">
        <v>57</v>
      </c>
      <c r="F2" s="3" t="s">
        <v>58</v>
      </c>
      <c r="G2" s="3" t="s">
        <v>216</v>
      </c>
      <c r="H2" s="3" t="s">
        <v>217</v>
      </c>
      <c r="I2" s="3" t="s">
        <v>60</v>
      </c>
      <c r="J2" s="3" t="s">
        <v>39</v>
      </c>
      <c r="K2" s="3" t="s">
        <v>218</v>
      </c>
    </row>
    <row r="3" spans="1:11" x14ac:dyDescent="0.35">
      <c r="A3" s="8" t="s">
        <v>219</v>
      </c>
      <c r="B3" s="8" t="s">
        <v>220</v>
      </c>
      <c r="C3" s="15"/>
      <c r="D3" s="15"/>
      <c r="E3" s="15"/>
      <c r="F3" s="10" t="str">
        <f t="shared" ref="F3:F26" si="0">IFERROR((C3/D3)-1,"")</f>
        <v/>
      </c>
      <c r="G3" s="16" t="s">
        <v>221</v>
      </c>
      <c r="H3" s="8"/>
      <c r="I3" s="8" t="s">
        <v>65</v>
      </c>
      <c r="J3" s="8"/>
      <c r="K3" s="8"/>
    </row>
    <row r="4" spans="1:11" x14ac:dyDescent="0.35">
      <c r="A4" s="8" t="s">
        <v>219</v>
      </c>
      <c r="B4" s="8" t="s">
        <v>222</v>
      </c>
      <c r="C4" s="15"/>
      <c r="D4" s="15"/>
      <c r="E4" s="15"/>
      <c r="F4" s="10" t="str">
        <f t="shared" si="0"/>
        <v/>
      </c>
      <c r="G4" s="16" t="s">
        <v>223</v>
      </c>
      <c r="H4" s="8"/>
      <c r="I4" s="8" t="s">
        <v>63</v>
      </c>
      <c r="J4" s="8"/>
      <c r="K4" s="8"/>
    </row>
    <row r="5" spans="1:11" x14ac:dyDescent="0.35">
      <c r="A5" s="8" t="s">
        <v>219</v>
      </c>
      <c r="B5" s="8" t="s">
        <v>224</v>
      </c>
      <c r="C5" s="15"/>
      <c r="D5" s="15"/>
      <c r="E5" s="15"/>
      <c r="F5" s="10" t="str">
        <f t="shared" si="0"/>
        <v/>
      </c>
      <c r="G5" s="16" t="s">
        <v>223</v>
      </c>
      <c r="H5" s="8"/>
      <c r="I5" s="8" t="s">
        <v>65</v>
      </c>
      <c r="J5" s="8"/>
      <c r="K5" s="8"/>
    </row>
    <row r="6" spans="1:11" x14ac:dyDescent="0.35">
      <c r="A6" s="8" t="s">
        <v>219</v>
      </c>
      <c r="B6" s="8" t="s">
        <v>225</v>
      </c>
      <c r="C6" s="15"/>
      <c r="D6" s="15"/>
      <c r="E6" s="15"/>
      <c r="F6" s="10" t="str">
        <f t="shared" si="0"/>
        <v/>
      </c>
      <c r="G6" s="16" t="s">
        <v>226</v>
      </c>
      <c r="H6" s="8"/>
      <c r="I6" s="8" t="s">
        <v>63</v>
      </c>
      <c r="J6" s="8"/>
      <c r="K6" s="8"/>
    </row>
    <row r="7" spans="1:11" x14ac:dyDescent="0.35">
      <c r="A7" s="8" t="s">
        <v>219</v>
      </c>
      <c r="B7" s="8" t="s">
        <v>227</v>
      </c>
      <c r="C7" s="15"/>
      <c r="D7" s="15"/>
      <c r="E7" s="15"/>
      <c r="F7" s="10" t="str">
        <f t="shared" si="0"/>
        <v/>
      </c>
      <c r="G7" s="16" t="s">
        <v>226</v>
      </c>
      <c r="H7" s="8"/>
      <c r="I7" s="8" t="s">
        <v>65</v>
      </c>
      <c r="J7" s="8"/>
      <c r="K7" s="8"/>
    </row>
    <row r="8" spans="1:11" x14ac:dyDescent="0.35">
      <c r="A8" s="11" t="s">
        <v>228</v>
      </c>
      <c r="B8" s="11" t="s">
        <v>229</v>
      </c>
      <c r="C8" s="12">
        <f>SUM(C4,C6,C7)</f>
        <v>0</v>
      </c>
      <c r="D8" s="12">
        <f>SUM(D4,D6,D7)</f>
        <v>0</v>
      </c>
      <c r="E8" s="12">
        <f>SUM(E4,E6,E7)</f>
        <v>0</v>
      </c>
      <c r="F8" s="13" t="str">
        <f t="shared" si="0"/>
        <v/>
      </c>
      <c r="G8" s="12" t="s">
        <v>230</v>
      </c>
      <c r="H8" s="14"/>
      <c r="I8" s="14" t="s">
        <v>80</v>
      </c>
      <c r="J8" s="14"/>
      <c r="K8" s="14"/>
    </row>
    <row r="9" spans="1:11" x14ac:dyDescent="0.35">
      <c r="A9" s="8" t="s">
        <v>228</v>
      </c>
      <c r="B9" s="8" t="s">
        <v>231</v>
      </c>
      <c r="C9" s="15"/>
      <c r="D9" s="15"/>
      <c r="E9" s="15"/>
      <c r="F9" s="10" t="str">
        <f t="shared" si="0"/>
        <v/>
      </c>
      <c r="G9" s="16" t="s">
        <v>230</v>
      </c>
      <c r="H9" s="8" t="s">
        <v>232</v>
      </c>
      <c r="I9" s="8" t="s">
        <v>63</v>
      </c>
      <c r="J9" s="8"/>
      <c r="K9" s="8"/>
    </row>
    <row r="10" spans="1:11" x14ac:dyDescent="0.35">
      <c r="A10" s="8" t="s">
        <v>228</v>
      </c>
      <c r="B10" s="8" t="s">
        <v>233</v>
      </c>
      <c r="C10" s="15"/>
      <c r="D10" s="15"/>
      <c r="E10" s="15"/>
      <c r="F10" s="10" t="str">
        <f t="shared" si="0"/>
        <v/>
      </c>
      <c r="G10" s="16" t="s">
        <v>230</v>
      </c>
      <c r="H10" s="8" t="s">
        <v>234</v>
      </c>
      <c r="I10" s="8" t="s">
        <v>63</v>
      </c>
      <c r="J10" s="8"/>
      <c r="K10" s="8"/>
    </row>
    <row r="11" spans="1:11" x14ac:dyDescent="0.35">
      <c r="A11" s="8" t="s">
        <v>228</v>
      </c>
      <c r="B11" s="8" t="s">
        <v>235</v>
      </c>
      <c r="C11" s="15"/>
      <c r="D11" s="15"/>
      <c r="E11" s="15"/>
      <c r="F11" s="10" t="str">
        <f t="shared" si="0"/>
        <v/>
      </c>
      <c r="G11" s="16" t="s">
        <v>230</v>
      </c>
      <c r="H11" s="8" t="s">
        <v>236</v>
      </c>
      <c r="I11" s="8" t="s">
        <v>63</v>
      </c>
      <c r="J11" s="8"/>
      <c r="K11" s="8"/>
    </row>
    <row r="12" spans="1:11" x14ac:dyDescent="0.35">
      <c r="A12" s="8" t="s">
        <v>228</v>
      </c>
      <c r="B12" s="8" t="s">
        <v>237</v>
      </c>
      <c r="C12" s="15"/>
      <c r="D12" s="15"/>
      <c r="E12" s="15"/>
      <c r="F12" s="10" t="str">
        <f t="shared" si="0"/>
        <v/>
      </c>
      <c r="G12" s="16" t="s">
        <v>230</v>
      </c>
      <c r="H12" s="8" t="s">
        <v>232</v>
      </c>
      <c r="I12" s="8" t="s">
        <v>63</v>
      </c>
      <c r="J12" s="8"/>
      <c r="K12" s="8"/>
    </row>
    <row r="13" spans="1:11" x14ac:dyDescent="0.35">
      <c r="A13" s="8" t="s">
        <v>228</v>
      </c>
      <c r="B13" s="8" t="s">
        <v>238</v>
      </c>
      <c r="C13" s="15"/>
      <c r="D13" s="15"/>
      <c r="E13" s="15"/>
      <c r="F13" s="10" t="str">
        <f t="shared" si="0"/>
        <v/>
      </c>
      <c r="G13" s="16" t="s">
        <v>230</v>
      </c>
      <c r="H13" s="8" t="s">
        <v>234</v>
      </c>
      <c r="I13" s="8" t="s">
        <v>63</v>
      </c>
      <c r="J13" s="8"/>
      <c r="K13" s="8"/>
    </row>
    <row r="14" spans="1:11" x14ac:dyDescent="0.35">
      <c r="A14" s="8" t="s">
        <v>228</v>
      </c>
      <c r="B14" s="8" t="s">
        <v>239</v>
      </c>
      <c r="C14" s="15"/>
      <c r="D14" s="15"/>
      <c r="E14" s="15"/>
      <c r="F14" s="10" t="str">
        <f t="shared" si="0"/>
        <v/>
      </c>
      <c r="G14" s="16" t="s">
        <v>230</v>
      </c>
      <c r="H14" s="8" t="s">
        <v>236</v>
      </c>
      <c r="I14" s="8" t="s">
        <v>63</v>
      </c>
      <c r="J14" s="8"/>
      <c r="K14" s="8"/>
    </row>
    <row r="15" spans="1:11" x14ac:dyDescent="0.35">
      <c r="A15" s="11" t="s">
        <v>228</v>
      </c>
      <c r="B15" s="11" t="s">
        <v>240</v>
      </c>
      <c r="C15" s="12">
        <f>SUM(C12:C14)</f>
        <v>0</v>
      </c>
      <c r="D15" s="12">
        <f>SUM(D12:D14)</f>
        <v>0</v>
      </c>
      <c r="E15" s="12">
        <f>SUM(E12:E14)</f>
        <v>0</v>
      </c>
      <c r="F15" s="13" t="str">
        <f t="shared" si="0"/>
        <v/>
      </c>
      <c r="G15" s="12" t="s">
        <v>230</v>
      </c>
      <c r="H15" s="14" t="s">
        <v>241</v>
      </c>
      <c r="I15" s="14" t="s">
        <v>80</v>
      </c>
      <c r="J15" s="14"/>
      <c r="K15" s="14"/>
    </row>
    <row r="16" spans="1:11" x14ac:dyDescent="0.35">
      <c r="A16" s="11" t="s">
        <v>228</v>
      </c>
      <c r="B16" s="11" t="s">
        <v>242</v>
      </c>
      <c r="C16" s="12" t="str">
        <f>IFERROR(C15/C8,"")</f>
        <v/>
      </c>
      <c r="D16" s="12" t="str">
        <f>IFERROR(D15/D8,"")</f>
        <v/>
      </c>
      <c r="E16" s="12" t="str">
        <f>IFERROR(E15/E8,"")</f>
        <v/>
      </c>
      <c r="F16" s="13" t="str">
        <f t="shared" si="0"/>
        <v/>
      </c>
      <c r="G16" s="12" t="s">
        <v>230</v>
      </c>
      <c r="H16" s="14"/>
      <c r="I16" s="14" t="s">
        <v>80</v>
      </c>
      <c r="J16" s="14"/>
      <c r="K16" s="14"/>
    </row>
    <row r="17" spans="1:11" x14ac:dyDescent="0.35">
      <c r="A17" s="8" t="s">
        <v>243</v>
      </c>
      <c r="B17" s="8" t="s">
        <v>244</v>
      </c>
      <c r="C17" s="15"/>
      <c r="D17" s="15"/>
      <c r="E17" s="15"/>
      <c r="F17" s="10" t="str">
        <f t="shared" si="0"/>
        <v/>
      </c>
      <c r="G17" s="16" t="s">
        <v>230</v>
      </c>
      <c r="H17" s="8"/>
      <c r="I17" s="8" t="s">
        <v>65</v>
      </c>
      <c r="J17" s="8"/>
      <c r="K17" s="8"/>
    </row>
    <row r="18" spans="1:11" x14ac:dyDescent="0.35">
      <c r="A18" s="8" t="s">
        <v>243</v>
      </c>
      <c r="B18" s="8" t="s">
        <v>245</v>
      </c>
      <c r="C18" s="15"/>
      <c r="D18" s="15"/>
      <c r="E18" s="15"/>
      <c r="F18" s="10" t="str">
        <f t="shared" si="0"/>
        <v/>
      </c>
      <c r="G18" s="16" t="s">
        <v>230</v>
      </c>
      <c r="H18" s="8"/>
      <c r="I18" s="8" t="s">
        <v>63</v>
      </c>
      <c r="J18" s="8"/>
      <c r="K18" s="8"/>
    </row>
    <row r="19" spans="1:11" x14ac:dyDescent="0.35">
      <c r="A19" s="8" t="s">
        <v>243</v>
      </c>
      <c r="B19" s="8" t="s">
        <v>246</v>
      </c>
      <c r="C19" s="15"/>
      <c r="D19" s="15"/>
      <c r="E19" s="15"/>
      <c r="F19" s="10" t="str">
        <f t="shared" si="0"/>
        <v/>
      </c>
      <c r="G19" s="16" t="s">
        <v>230</v>
      </c>
      <c r="H19" s="8"/>
      <c r="I19" s="8" t="s">
        <v>65</v>
      </c>
      <c r="J19" s="8"/>
      <c r="K19" s="8"/>
    </row>
    <row r="20" spans="1:11" x14ac:dyDescent="0.35">
      <c r="A20" s="8" t="s">
        <v>243</v>
      </c>
      <c r="B20" s="8" t="s">
        <v>247</v>
      </c>
      <c r="C20" s="15"/>
      <c r="D20" s="15"/>
      <c r="E20" s="15"/>
      <c r="F20" s="10" t="str">
        <f t="shared" si="0"/>
        <v/>
      </c>
      <c r="G20" s="16" t="s">
        <v>230</v>
      </c>
      <c r="H20" s="8"/>
      <c r="I20" s="8" t="s">
        <v>65</v>
      </c>
      <c r="J20" s="8"/>
      <c r="K20" s="8"/>
    </row>
    <row r="21" spans="1:11" x14ac:dyDescent="0.35">
      <c r="A21" s="8" t="s">
        <v>123</v>
      </c>
      <c r="B21" s="8" t="s">
        <v>248</v>
      </c>
      <c r="C21" s="15"/>
      <c r="D21" s="15"/>
      <c r="E21" s="15"/>
      <c r="F21" s="10" t="str">
        <f t="shared" si="0"/>
        <v/>
      </c>
      <c r="G21" s="16" t="s">
        <v>223</v>
      </c>
      <c r="H21" s="8"/>
      <c r="I21" s="8" t="s">
        <v>63</v>
      </c>
      <c r="J21" s="8"/>
      <c r="K21" s="8"/>
    </row>
    <row r="22" spans="1:11" x14ac:dyDescent="0.35">
      <c r="A22" s="8" t="s">
        <v>249</v>
      </c>
      <c r="B22" s="8" t="s">
        <v>250</v>
      </c>
      <c r="C22" s="15"/>
      <c r="D22" s="15"/>
      <c r="E22" s="15"/>
      <c r="F22" s="10" t="str">
        <f t="shared" si="0"/>
        <v/>
      </c>
      <c r="G22" s="16" t="s">
        <v>221</v>
      </c>
      <c r="H22" s="8"/>
      <c r="I22" s="8" t="s">
        <v>65</v>
      </c>
      <c r="J22" s="8"/>
      <c r="K22" s="8"/>
    </row>
    <row r="23" spans="1:11" x14ac:dyDescent="0.35">
      <c r="A23" s="8" t="s">
        <v>249</v>
      </c>
      <c r="B23" s="8" t="s">
        <v>251</v>
      </c>
      <c r="C23" s="15"/>
      <c r="D23" s="15"/>
      <c r="E23" s="15"/>
      <c r="F23" s="10" t="str">
        <f t="shared" si="0"/>
        <v/>
      </c>
      <c r="G23" s="16" t="s">
        <v>241</v>
      </c>
      <c r="H23" s="8"/>
      <c r="I23" s="8" t="s">
        <v>63</v>
      </c>
      <c r="J23" s="8"/>
      <c r="K23" s="8"/>
    </row>
    <row r="24" spans="1:11" x14ac:dyDescent="0.35">
      <c r="A24" s="8" t="s">
        <v>249</v>
      </c>
      <c r="B24" s="8" t="s">
        <v>252</v>
      </c>
      <c r="C24" s="15"/>
      <c r="D24" s="15"/>
      <c r="E24" s="15"/>
      <c r="F24" s="10" t="str">
        <f t="shared" si="0"/>
        <v/>
      </c>
      <c r="G24" s="16" t="s">
        <v>241</v>
      </c>
      <c r="H24" s="8"/>
      <c r="I24" s="8" t="s">
        <v>65</v>
      </c>
      <c r="J24" s="8"/>
      <c r="K24" s="8"/>
    </row>
    <row r="25" spans="1:11" x14ac:dyDescent="0.35">
      <c r="A25" s="11" t="s">
        <v>249</v>
      </c>
      <c r="B25" s="11" t="s">
        <v>253</v>
      </c>
      <c r="C25" s="12" t="str">
        <f>IFERROR(C23/C24,"")</f>
        <v/>
      </c>
      <c r="D25" s="12" t="str">
        <f>IFERROR(D23/D24,"")</f>
        <v/>
      </c>
      <c r="E25" s="12" t="str">
        <f>IFERROR(E23/E24,"")</f>
        <v/>
      </c>
      <c r="F25" s="13" t="str">
        <f t="shared" si="0"/>
        <v/>
      </c>
      <c r="G25" s="12" t="s">
        <v>241</v>
      </c>
      <c r="H25" s="14"/>
      <c r="I25" s="14" t="s">
        <v>80</v>
      </c>
      <c r="J25" s="14"/>
      <c r="K25" s="14"/>
    </row>
    <row r="26" spans="1:11" x14ac:dyDescent="0.35">
      <c r="A26" s="8" t="s">
        <v>254</v>
      </c>
      <c r="B26" s="8" t="s">
        <v>255</v>
      </c>
      <c r="C26" s="15"/>
      <c r="D26" s="15"/>
      <c r="E26" s="15"/>
      <c r="F26" s="10" t="str">
        <f t="shared" si="0"/>
        <v/>
      </c>
      <c r="G26" s="16" t="s">
        <v>241</v>
      </c>
      <c r="H26" s="8"/>
      <c r="I26" s="8" t="s">
        <v>65</v>
      </c>
      <c r="J26" s="8"/>
      <c r="K26" s="8"/>
    </row>
  </sheetData>
  <mergeCells count="1">
    <mergeCell ref="A1:K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showGridLines="0" workbookViewId="0"/>
  </sheetViews>
  <sheetFormatPr defaultRowHeight="14.5" x14ac:dyDescent="0.35"/>
  <cols>
    <col min="1" max="1" width="12" customWidth="1"/>
    <col min="2" max="2" width="36" customWidth="1"/>
    <col min="3" max="3" width="46" customWidth="1"/>
    <col min="4" max="4" width="12" customWidth="1"/>
    <col min="5" max="5" width="18" customWidth="1"/>
    <col min="6" max="6" width="14" customWidth="1"/>
    <col min="7" max="7" width="24" customWidth="1"/>
  </cols>
  <sheetData>
    <row r="1" spans="1:7" ht="17" x14ac:dyDescent="0.35">
      <c r="A1" s="29" t="s">
        <v>256</v>
      </c>
      <c r="B1" s="30"/>
      <c r="C1" s="30"/>
      <c r="D1" s="30"/>
      <c r="E1" s="30"/>
      <c r="F1" s="30"/>
      <c r="G1" s="30"/>
    </row>
    <row r="2" spans="1:7" x14ac:dyDescent="0.35">
      <c r="A2" s="3" t="s">
        <v>54</v>
      </c>
      <c r="B2" s="3" t="s">
        <v>257</v>
      </c>
      <c r="C2" s="3" t="s">
        <v>258</v>
      </c>
      <c r="D2" s="3" t="s">
        <v>259</v>
      </c>
      <c r="E2" s="3" t="s">
        <v>260</v>
      </c>
      <c r="F2" s="3" t="s">
        <v>60</v>
      </c>
      <c r="G2" s="3" t="s">
        <v>133</v>
      </c>
    </row>
    <row r="3" spans="1:7" x14ac:dyDescent="0.35">
      <c r="A3" s="8" t="s">
        <v>261</v>
      </c>
      <c r="B3" s="8" t="s">
        <v>73</v>
      </c>
      <c r="C3" s="16" t="s">
        <v>262</v>
      </c>
      <c r="D3" s="16" t="s">
        <v>263</v>
      </c>
      <c r="E3" s="16" t="s">
        <v>264</v>
      </c>
      <c r="F3" s="16" t="s">
        <v>63</v>
      </c>
      <c r="G3" s="16" t="s">
        <v>265</v>
      </c>
    </row>
    <row r="4" spans="1:7" x14ac:dyDescent="0.35">
      <c r="A4" s="8" t="s">
        <v>261</v>
      </c>
      <c r="B4" s="8" t="s">
        <v>82</v>
      </c>
      <c r="C4" s="16" t="s">
        <v>266</v>
      </c>
      <c r="D4" s="16" t="s">
        <v>263</v>
      </c>
      <c r="E4" s="16" t="s">
        <v>264</v>
      </c>
      <c r="F4" s="16" t="s">
        <v>63</v>
      </c>
      <c r="G4" s="16" t="s">
        <v>267</v>
      </c>
    </row>
    <row r="5" spans="1:7" x14ac:dyDescent="0.35">
      <c r="A5" s="8" t="s">
        <v>261</v>
      </c>
      <c r="B5" s="8" t="s">
        <v>85</v>
      </c>
      <c r="C5" s="16" t="s">
        <v>268</v>
      </c>
      <c r="D5" s="16" t="s">
        <v>263</v>
      </c>
      <c r="E5" s="16" t="s">
        <v>264</v>
      </c>
      <c r="F5" s="16" t="s">
        <v>63</v>
      </c>
      <c r="G5" s="16" t="s">
        <v>269</v>
      </c>
    </row>
    <row r="6" spans="1:7" x14ac:dyDescent="0.35">
      <c r="A6" s="8" t="s">
        <v>270</v>
      </c>
      <c r="B6" s="8" t="s">
        <v>106</v>
      </c>
      <c r="C6" s="16" t="s">
        <v>271</v>
      </c>
      <c r="D6" s="16" t="s">
        <v>263</v>
      </c>
      <c r="E6" s="16" t="s">
        <v>272</v>
      </c>
      <c r="F6" s="16" t="s">
        <v>63</v>
      </c>
      <c r="G6" s="16" t="s">
        <v>273</v>
      </c>
    </row>
    <row r="7" spans="1:7" x14ac:dyDescent="0.35">
      <c r="A7" s="8" t="s">
        <v>270</v>
      </c>
      <c r="B7" s="8" t="s">
        <v>274</v>
      </c>
      <c r="C7" s="16" t="s">
        <v>275</v>
      </c>
      <c r="D7" s="16" t="s">
        <v>263</v>
      </c>
      <c r="E7" s="16" t="s">
        <v>272</v>
      </c>
      <c r="F7" s="16" t="s">
        <v>63</v>
      </c>
      <c r="G7" s="16" t="s">
        <v>276</v>
      </c>
    </row>
    <row r="8" spans="1:7" x14ac:dyDescent="0.35">
      <c r="A8" s="8" t="s">
        <v>270</v>
      </c>
      <c r="B8" s="8" t="s">
        <v>277</v>
      </c>
      <c r="C8" s="16" t="s">
        <v>278</v>
      </c>
      <c r="D8" s="16" t="s">
        <v>263</v>
      </c>
      <c r="E8" s="16" t="s">
        <v>272</v>
      </c>
      <c r="F8" s="16" t="s">
        <v>63</v>
      </c>
      <c r="G8" s="16" t="s">
        <v>279</v>
      </c>
    </row>
    <row r="9" spans="1:7" x14ac:dyDescent="0.35">
      <c r="A9" s="8" t="s">
        <v>280</v>
      </c>
      <c r="B9" s="8" t="s">
        <v>153</v>
      </c>
      <c r="C9" s="16" t="s">
        <v>281</v>
      </c>
      <c r="D9" s="16" t="s">
        <v>263</v>
      </c>
      <c r="E9" s="16" t="s">
        <v>282</v>
      </c>
      <c r="F9" s="16" t="s">
        <v>63</v>
      </c>
      <c r="G9" s="16" t="s">
        <v>283</v>
      </c>
    </row>
    <row r="10" spans="1:7" x14ac:dyDescent="0.35">
      <c r="A10" s="8" t="s">
        <v>280</v>
      </c>
      <c r="B10" s="8" t="s">
        <v>284</v>
      </c>
      <c r="C10" s="16" t="s">
        <v>285</v>
      </c>
      <c r="D10" s="16" t="s">
        <v>263</v>
      </c>
      <c r="E10" s="16" t="s">
        <v>282</v>
      </c>
      <c r="F10" s="16" t="s">
        <v>63</v>
      </c>
      <c r="G10" s="16" t="s">
        <v>286</v>
      </c>
    </row>
    <row r="11" spans="1:7" x14ac:dyDescent="0.35">
      <c r="A11" s="8" t="s">
        <v>280</v>
      </c>
      <c r="B11" s="8" t="s">
        <v>287</v>
      </c>
      <c r="C11" s="16" t="s">
        <v>288</v>
      </c>
      <c r="D11" s="16" t="s">
        <v>263</v>
      </c>
      <c r="E11" s="16" t="s">
        <v>282</v>
      </c>
      <c r="F11" s="16" t="s">
        <v>63</v>
      </c>
      <c r="G11" s="16" t="s">
        <v>289</v>
      </c>
    </row>
    <row r="12" spans="1:7" x14ac:dyDescent="0.35">
      <c r="A12" s="8" t="s">
        <v>280</v>
      </c>
      <c r="B12" s="8" t="s">
        <v>290</v>
      </c>
      <c r="C12" s="16" t="s">
        <v>291</v>
      </c>
      <c r="D12" s="16" t="s">
        <v>292</v>
      </c>
      <c r="E12" s="16" t="s">
        <v>282</v>
      </c>
      <c r="F12" s="16" t="s">
        <v>65</v>
      </c>
      <c r="G12" s="16" t="s">
        <v>293</v>
      </c>
    </row>
    <row r="13" spans="1:7" x14ac:dyDescent="0.35">
      <c r="A13" s="8" t="s">
        <v>294</v>
      </c>
      <c r="B13" s="8" t="s">
        <v>295</v>
      </c>
      <c r="C13" s="16" t="s">
        <v>296</v>
      </c>
      <c r="D13" s="16" t="s">
        <v>297</v>
      </c>
      <c r="E13" s="16" t="s">
        <v>298</v>
      </c>
      <c r="F13" s="16" t="s">
        <v>63</v>
      </c>
      <c r="G13" s="16" t="s">
        <v>299</v>
      </c>
    </row>
    <row r="14" spans="1:7" x14ac:dyDescent="0.35">
      <c r="A14" s="8" t="s">
        <v>294</v>
      </c>
      <c r="B14" s="8" t="s">
        <v>248</v>
      </c>
      <c r="C14" s="16" t="s">
        <v>96</v>
      </c>
      <c r="D14" s="16" t="s">
        <v>297</v>
      </c>
      <c r="E14" s="16" t="s">
        <v>298</v>
      </c>
      <c r="F14" s="16" t="s">
        <v>63</v>
      </c>
      <c r="G14" s="16" t="s">
        <v>300</v>
      </c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"/>
  <sheetViews>
    <sheetView showGridLines="0" workbookViewId="0"/>
  </sheetViews>
  <sheetFormatPr defaultRowHeight="14.5" x14ac:dyDescent="0.35"/>
  <cols>
    <col min="1" max="1" width="14" customWidth="1"/>
    <col min="2" max="2" width="28" customWidth="1"/>
    <col min="3" max="3" width="42" customWidth="1"/>
    <col min="4" max="6" width="12" customWidth="1"/>
    <col min="7" max="7" width="26" customWidth="1"/>
    <col min="8" max="8" width="18" customWidth="1"/>
  </cols>
  <sheetData>
    <row r="1" spans="1:8" ht="17" x14ac:dyDescent="0.35">
      <c r="A1" s="29" t="s">
        <v>301</v>
      </c>
      <c r="B1" s="30"/>
      <c r="C1" s="30"/>
      <c r="D1" s="30"/>
      <c r="E1" s="30"/>
      <c r="F1" s="30"/>
      <c r="G1" s="30"/>
      <c r="H1" s="30"/>
    </row>
    <row r="2" spans="1:8" x14ac:dyDescent="0.35">
      <c r="A2" s="3" t="s">
        <v>302</v>
      </c>
      <c r="B2" s="3" t="s">
        <v>303</v>
      </c>
      <c r="C2" s="3" t="s">
        <v>304</v>
      </c>
      <c r="D2" s="3" t="s">
        <v>305</v>
      </c>
      <c r="E2" s="3" t="s">
        <v>306</v>
      </c>
      <c r="F2" s="3" t="s">
        <v>307</v>
      </c>
      <c r="G2" s="3" t="s">
        <v>308</v>
      </c>
      <c r="H2" s="3" t="s">
        <v>133</v>
      </c>
    </row>
    <row r="3" spans="1:8" x14ac:dyDescent="0.35">
      <c r="A3" s="8" t="s">
        <v>309</v>
      </c>
      <c r="B3" s="8" t="s">
        <v>310</v>
      </c>
      <c r="C3" s="16" t="s">
        <v>311</v>
      </c>
      <c r="D3" s="10" t="str">
        <f>IFERROR(Input_PL_OCI!C16/Input_SFP!C18,"")</f>
        <v/>
      </c>
      <c r="E3" s="10" t="str">
        <f>IFERROR(Input_PL_OCI!D16/Input_SFP!D18,"")</f>
        <v/>
      </c>
      <c r="F3" s="10" t="str">
        <f>IFERROR(Input_PL_OCI!E16/Input_SFP!E18,"")</f>
        <v/>
      </c>
      <c r="G3" s="16" t="str">
        <f>IF(D3&gt;=Setup!$B$15,"Sehat","Perlu perhatian")</f>
        <v>Sehat</v>
      </c>
      <c r="H3" s="8"/>
    </row>
    <row r="4" spans="1:8" x14ac:dyDescent="0.35">
      <c r="A4" s="8" t="s">
        <v>309</v>
      </c>
      <c r="B4" s="8" t="s">
        <v>312</v>
      </c>
      <c r="C4" s="16" t="s">
        <v>313</v>
      </c>
      <c r="D4" s="10" t="str">
        <f>IFERROR(Input_PL_OCI!C16/Input_SFP!C34,"")</f>
        <v/>
      </c>
      <c r="E4" s="10" t="str">
        <f>IFERROR(Input_PL_OCI!D16/Input_SFP!D34,"")</f>
        <v/>
      </c>
      <c r="F4" s="10" t="str">
        <f>IFERROR(Input_PL_OCI!E16/Input_SFP!E34,"")</f>
        <v/>
      </c>
      <c r="G4" s="16" t="str">
        <f>IF(D4&gt;=Setup!$B$16,"Sehat","Perlu perhatian")</f>
        <v>Sehat</v>
      </c>
      <c r="H4" s="8"/>
    </row>
    <row r="5" spans="1:8" x14ac:dyDescent="0.35">
      <c r="A5" s="8" t="s">
        <v>314</v>
      </c>
      <c r="B5" s="8" t="s">
        <v>205</v>
      </c>
      <c r="C5" s="16" t="s">
        <v>315</v>
      </c>
      <c r="D5" s="10" t="str">
        <f>IFERROR(Input_IFRS17_Detail!C28,"")</f>
        <v/>
      </c>
      <c r="E5" s="10" t="str">
        <f>IFERROR(Input_IFRS17_Detail!D28,"")</f>
        <v/>
      </c>
      <c r="F5" s="10" t="str">
        <f>IFERROR(Input_IFRS17_Detail!E28,"")</f>
        <v/>
      </c>
      <c r="G5" s="16" t="str">
        <f>IF(D5&lt;=Setup!$B$17,"Terkendali","Tinggi")</f>
        <v>Tinggi</v>
      </c>
      <c r="H5" s="8"/>
    </row>
    <row r="6" spans="1:8" x14ac:dyDescent="0.35">
      <c r="A6" s="8" t="s">
        <v>314</v>
      </c>
      <c r="B6" s="8" t="s">
        <v>207</v>
      </c>
      <c r="C6" s="16" t="s">
        <v>316</v>
      </c>
      <c r="D6" s="10" t="str">
        <f>IFERROR(Input_IFRS17_Detail!C29,"")</f>
        <v/>
      </c>
      <c r="E6" s="10" t="str">
        <f>IFERROR(Input_IFRS17_Detail!D29,"")</f>
        <v/>
      </c>
      <c r="F6" s="10" t="str">
        <f>IFERROR(Input_IFRS17_Detail!E29,"")</f>
        <v/>
      </c>
      <c r="G6" s="16" t="str">
        <f>IF(D6&lt;=Setup!$B$18,"Efisien","Beban tinggi")</f>
        <v>Beban tinggi</v>
      </c>
      <c r="H6" s="8"/>
    </row>
    <row r="7" spans="1:8" x14ac:dyDescent="0.35">
      <c r="A7" s="8" t="s">
        <v>314</v>
      </c>
      <c r="B7" s="8" t="s">
        <v>209</v>
      </c>
      <c r="C7" s="16" t="s">
        <v>317</v>
      </c>
      <c r="D7" s="18" t="str">
        <f>IFERROR(Input_IFRS17_Detail!C30,"")</f>
        <v/>
      </c>
      <c r="E7" s="18" t="str">
        <f>IFERROR(Input_IFRS17_Detail!D30,"")</f>
        <v/>
      </c>
      <c r="F7" s="18" t="str">
        <f>IFERROR(Input_IFRS17_Detail!E30,"")</f>
        <v/>
      </c>
      <c r="G7" s="16" t="str">
        <f>IF(D7&lt;=Setup!$B$19,"Underwriting positif","Underwriting tertekan")</f>
        <v>Underwriting tertekan</v>
      </c>
      <c r="H7" s="8"/>
    </row>
    <row r="8" spans="1:8" x14ac:dyDescent="0.35">
      <c r="A8" s="8" t="s">
        <v>193</v>
      </c>
      <c r="B8" s="8" t="s">
        <v>202</v>
      </c>
      <c r="C8" s="16" t="s">
        <v>318</v>
      </c>
      <c r="D8" s="10" t="str">
        <f>IFERROR(Input_IFRS17_Detail!C26,"")</f>
        <v/>
      </c>
      <c r="E8" s="10" t="str">
        <f>IFERROR(Input_IFRS17_Detail!D26,"")</f>
        <v/>
      </c>
      <c r="F8" s="10" t="str">
        <f>IFERROR(Input_IFRS17_Detail!E26,"")</f>
        <v/>
      </c>
      <c r="G8" s="16" t="str">
        <f>IF(D8&gt;=Setup!$B$20,"Retensi memadai","Ketergantungan reasuransi tinggi")</f>
        <v>Retensi memadai</v>
      </c>
      <c r="H8" s="8"/>
    </row>
    <row r="9" spans="1:8" x14ac:dyDescent="0.35">
      <c r="A9" s="8" t="s">
        <v>185</v>
      </c>
      <c r="B9" s="8" t="s">
        <v>211</v>
      </c>
      <c r="C9" s="16" t="s">
        <v>319</v>
      </c>
      <c r="D9" s="10" t="str">
        <f>IFERROR(Input_IFRS17_Detail!C31,"")</f>
        <v/>
      </c>
      <c r="E9" s="10" t="str">
        <f>IFERROR(Input_IFRS17_Detail!D31,"")</f>
        <v/>
      </c>
      <c r="F9" s="10" t="str">
        <f>IFERROR(Input_IFRS17_Detail!E31,"")</f>
        <v/>
      </c>
      <c r="G9" s="16" t="str">
        <f>IF(D9&lt;=Setup!$B$24,"Cadangan vs modal terkendali","Cadangan tinggi vs ekuitas")</f>
        <v>Cadangan tinggi vs ekuitas</v>
      </c>
      <c r="H9" s="8"/>
    </row>
    <row r="10" spans="1:8" x14ac:dyDescent="0.35">
      <c r="A10" s="8" t="s">
        <v>193</v>
      </c>
      <c r="B10" s="8" t="s">
        <v>320</v>
      </c>
      <c r="C10" s="16" t="s">
        <v>321</v>
      </c>
      <c r="D10" s="10" t="str">
        <f>IFERROR(Input_IFRS17_Detail!C32,"")</f>
        <v/>
      </c>
      <c r="E10" s="10" t="str">
        <f>IFERROR(Input_IFRS17_Detail!D32,"")</f>
        <v/>
      </c>
      <c r="F10" s="10" t="str">
        <f>IFERROR(Input_IFRS17_Detail!E32,"")</f>
        <v/>
      </c>
      <c r="G10" s="16" t="str">
        <f>IF(D10&lt;=1,"Eksposur reasuransi masih terkendali","Ketergantungan reasuransi besar")</f>
        <v>Ketergantungan reasuransi besar</v>
      </c>
      <c r="H10" s="8"/>
    </row>
    <row r="11" spans="1:8" x14ac:dyDescent="0.35">
      <c r="A11" s="8" t="s">
        <v>322</v>
      </c>
      <c r="B11" s="8" t="s">
        <v>323</v>
      </c>
      <c r="C11" s="16" t="s">
        <v>324</v>
      </c>
      <c r="D11" s="10" t="str">
        <f>IFERROR(Input_SFP!C26/Input_SFP!C34,"")</f>
        <v/>
      </c>
      <c r="E11" s="10" t="str">
        <f>IFERROR(Input_SFP!D26/Input_SFP!D34,"")</f>
        <v/>
      </c>
      <c r="F11" s="10" t="str">
        <f>IFERROR(Input_SFP!E26/Input_SFP!E34,"")</f>
        <v/>
      </c>
      <c r="G11" s="16" t="str">
        <f>IF(D11&lt;=Setup!$B$14,"Terkendali","Tinggi")</f>
        <v>Tinggi</v>
      </c>
      <c r="H11" s="8"/>
    </row>
    <row r="12" spans="1:8" x14ac:dyDescent="0.35">
      <c r="A12" s="8" t="s">
        <v>325</v>
      </c>
      <c r="B12" s="8" t="s">
        <v>326</v>
      </c>
      <c r="C12" s="16" t="s">
        <v>327</v>
      </c>
      <c r="D12" s="10" t="str">
        <f>IFERROR(Input_SFP!C3/Input_SFP!C26,"")</f>
        <v/>
      </c>
      <c r="E12" s="10" t="str">
        <f>IFERROR(Input_SFP!D3/Input_SFP!D26,"")</f>
        <v/>
      </c>
      <c r="F12" s="10" t="str">
        <f>IFERROR(Input_SFP!E3/Input_SFP!E26,"")</f>
        <v/>
      </c>
      <c r="G12" s="16" t="str">
        <f>IF(D12&gt;=Setup!$B$13,"Likuiditas awal memadai","Perlu review likuiditas")</f>
        <v>Likuiditas awal memadai</v>
      </c>
      <c r="H12" s="8"/>
    </row>
    <row r="13" spans="1:8" x14ac:dyDescent="0.35">
      <c r="A13" s="8" t="s">
        <v>297</v>
      </c>
      <c r="B13" s="8" t="s">
        <v>328</v>
      </c>
      <c r="C13" s="16" t="s">
        <v>329</v>
      </c>
      <c r="D13" s="10" t="str">
        <f>IFERROR(Input_IFRS9_Detail!C15/Input_IFRS9_Detail!C8,"")</f>
        <v/>
      </c>
      <c r="E13" s="10" t="str">
        <f>IFERROR(Input_IFRS9_Detail!D15/Input_IFRS9_Detail!D8,"")</f>
        <v/>
      </c>
      <c r="F13" s="10" t="str">
        <f>IFERROR(Input_IFRS9_Detail!E15/Input_IFRS9_Detail!E8,"")</f>
        <v/>
      </c>
      <c r="G13" s="16" t="str">
        <f>IF(D13&gt;=Setup!$B$21,"Coverage memadai","Coverage tipis / belum lengkap")</f>
        <v>Coverage memadai</v>
      </c>
      <c r="H13" s="8"/>
    </row>
    <row r="14" spans="1:8" x14ac:dyDescent="0.35">
      <c r="A14" s="8" t="s">
        <v>297</v>
      </c>
      <c r="B14" s="8" t="s">
        <v>330</v>
      </c>
      <c r="C14" s="16" t="s">
        <v>331</v>
      </c>
      <c r="D14" s="10" t="str">
        <f>IFERROR((Input_IFRS9_Detail!C10+Input_IFRS9_Detail!C11)/Input_IFRS9_Detail!C8,"")</f>
        <v/>
      </c>
      <c r="E14" s="10" t="str">
        <f>IFERROR((Input_IFRS9_Detail!D10+Input_IFRS9_Detail!D11)/Input_IFRS9_Detail!D8,"")</f>
        <v/>
      </c>
      <c r="F14" s="10" t="str">
        <f>IFERROR((Input_IFRS9_Detail!E10+Input_IFRS9_Detail!E11)/Input_IFRS9_Detail!E8,"")</f>
        <v/>
      </c>
      <c r="G14" s="16" t="str">
        <f>IF(D14&lt;=Setup!$B$22,"Kualitas kredit relatif baik","Migrasi kredit meningkat")</f>
        <v>Migrasi kredit meningkat</v>
      </c>
      <c r="H14" s="8"/>
    </row>
    <row r="15" spans="1:8" x14ac:dyDescent="0.35">
      <c r="A15" s="8" t="s">
        <v>332</v>
      </c>
      <c r="B15" s="8" t="s">
        <v>333</v>
      </c>
      <c r="C15" s="16" t="s">
        <v>334</v>
      </c>
      <c r="D15" s="10" t="str">
        <f>IFERROR(Input_CF!C3/Input_PL_OCI!C16,"")</f>
        <v/>
      </c>
      <c r="E15" s="10" t="str">
        <f>IFERROR(Input_CF!D3/Input_PL_OCI!D16,"")</f>
        <v/>
      </c>
      <c r="F15" s="10" t="str">
        <f>IFERROR(Input_CF!E3/Input_PL_OCI!E16,"")</f>
        <v/>
      </c>
      <c r="G15" s="16" t="str">
        <f>IF(D15&gt;=Setup!$B$23,"Konversi laba ke kas baik","Kas operasi lemah vs laba")</f>
        <v>Konversi laba ke kas baik</v>
      </c>
      <c r="H15" s="8"/>
    </row>
    <row r="16" spans="1:8" x14ac:dyDescent="0.35">
      <c r="A16" s="8" t="s">
        <v>332</v>
      </c>
      <c r="B16" s="8" t="s">
        <v>335</v>
      </c>
      <c r="C16" s="16" t="s">
        <v>336</v>
      </c>
      <c r="D16" s="10" t="str">
        <f>IFERROR(Input_CF!C8/Input_SFP!C3,"")</f>
        <v/>
      </c>
      <c r="E16" s="10" t="str">
        <f>IFERROR(Input_CF!D8/Input_SFP!D3,"")</f>
        <v/>
      </c>
      <c r="F16" s="10" t="str">
        <f>IFERROR(Input_CF!E8/Input_SFP!E3,"")</f>
        <v/>
      </c>
      <c r="G16" s="16" t="e">
        <f>IF(ABS(D16-1)&lt;0.02,"Konsisten","Perlu rekonsiliasi")</f>
        <v>#VALUE!</v>
      </c>
      <c r="H16" s="8"/>
    </row>
    <row r="17" spans="1:8" x14ac:dyDescent="0.35">
      <c r="A17" s="8"/>
      <c r="B17" s="8"/>
      <c r="C17" s="16"/>
      <c r="D17" s="10"/>
      <c r="E17" s="10"/>
      <c r="F17" s="10"/>
      <c r="G17" s="16"/>
      <c r="H17" s="8"/>
    </row>
    <row r="18" spans="1:8" x14ac:dyDescent="0.35">
      <c r="A18" s="8"/>
      <c r="B18" s="8"/>
      <c r="C18" s="16"/>
      <c r="D18" s="10"/>
      <c r="E18" s="10"/>
      <c r="F18" s="10"/>
      <c r="G18" s="16"/>
      <c r="H18" s="8"/>
    </row>
    <row r="19" spans="1:8" x14ac:dyDescent="0.35">
      <c r="A19" s="8"/>
      <c r="B19" s="8"/>
      <c r="C19" s="16"/>
      <c r="D19" s="10"/>
      <c r="E19" s="10"/>
      <c r="F19" s="10"/>
      <c r="G19" s="16"/>
      <c r="H19" s="8"/>
    </row>
    <row r="20" spans="1:8" x14ac:dyDescent="0.35">
      <c r="A20" s="8"/>
      <c r="B20" s="8"/>
      <c r="C20" s="16"/>
      <c r="D20" s="10"/>
      <c r="E20" s="10"/>
      <c r="F20" s="10"/>
      <c r="G20" s="16"/>
      <c r="H20" s="8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2"/>
  <sheetViews>
    <sheetView showGridLines="0" workbookViewId="0"/>
  </sheetViews>
  <sheetFormatPr defaultRowHeight="14.5" x14ac:dyDescent="0.35"/>
  <cols>
    <col min="1" max="1" width="12" customWidth="1"/>
    <col min="2" max="2" width="28" customWidth="1"/>
    <col min="3" max="9" width="14" customWidth="1"/>
    <col min="10" max="10" width="10" customWidth="1"/>
  </cols>
  <sheetData>
    <row r="1" spans="1:10" ht="17" x14ac:dyDescent="0.35">
      <c r="A1" s="29" t="s">
        <v>337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x14ac:dyDescent="0.35">
      <c r="A2" s="3" t="s">
        <v>338</v>
      </c>
      <c r="B2" s="3" t="s">
        <v>131</v>
      </c>
      <c r="C2" s="3" t="s">
        <v>305</v>
      </c>
      <c r="D2" s="3" t="s">
        <v>306</v>
      </c>
      <c r="E2" s="3" t="s">
        <v>307</v>
      </c>
      <c r="F2" s="3" t="s">
        <v>59</v>
      </c>
      <c r="G2" s="3" t="s">
        <v>339</v>
      </c>
      <c r="H2" s="3" t="s">
        <v>340</v>
      </c>
      <c r="I2" s="3" t="s">
        <v>341</v>
      </c>
      <c r="J2" s="3" t="s">
        <v>342</v>
      </c>
    </row>
    <row r="3" spans="1:10" x14ac:dyDescent="0.35">
      <c r="A3" s="8" t="s">
        <v>261</v>
      </c>
      <c r="B3" s="8" t="s">
        <v>343</v>
      </c>
      <c r="C3" s="16">
        <f>Input_SFP!C18</f>
        <v>0</v>
      </c>
      <c r="D3" s="16">
        <f>Input_SFP!D18</f>
        <v>0</v>
      </c>
      <c r="E3" s="16">
        <f>Input_SFP!E18</f>
        <v>0</v>
      </c>
      <c r="F3" s="10">
        <f>1</f>
        <v>1</v>
      </c>
      <c r="G3" s="10">
        <f>1</f>
        <v>1</v>
      </c>
      <c r="H3" s="19" t="str">
        <f t="shared" ref="H3:H12" si="0">IFERROR((C3/D3)-1,"")</f>
        <v/>
      </c>
      <c r="I3" s="19" t="str">
        <f t="shared" ref="I3:I12" si="1">IFERROR((D3/E3)-1,"")</f>
        <v/>
      </c>
      <c r="J3" s="8" t="str">
        <f t="shared" ref="J3:J12" si="2">IF(H3&gt;0,"Naik","Turun")</f>
        <v>Naik</v>
      </c>
    </row>
    <row r="4" spans="1:10" x14ac:dyDescent="0.35">
      <c r="A4" s="8" t="s">
        <v>261</v>
      </c>
      <c r="B4" s="8" t="s">
        <v>344</v>
      </c>
      <c r="C4" s="16">
        <f>Input_SFP!C26</f>
        <v>0</v>
      </c>
      <c r="D4" s="16">
        <f>Input_SFP!D26</f>
        <v>0</v>
      </c>
      <c r="E4" s="16">
        <f>Input_SFP!E26</f>
        <v>0</v>
      </c>
      <c r="F4" s="10" t="str">
        <f>IFERROR(C4/C3,"")</f>
        <v/>
      </c>
      <c r="G4" s="10" t="str">
        <f>IFERROR(D4/D3,"")</f>
        <v/>
      </c>
      <c r="H4" s="19" t="str">
        <f t="shared" si="0"/>
        <v/>
      </c>
      <c r="I4" s="19" t="str">
        <f t="shared" si="1"/>
        <v/>
      </c>
      <c r="J4" s="8" t="str">
        <f t="shared" si="2"/>
        <v>Naik</v>
      </c>
    </row>
    <row r="5" spans="1:10" x14ac:dyDescent="0.35">
      <c r="A5" s="8" t="s">
        <v>261</v>
      </c>
      <c r="B5" s="8" t="s">
        <v>345</v>
      </c>
      <c r="C5" s="16">
        <f>Input_SFP!C34</f>
        <v>0</v>
      </c>
      <c r="D5" s="16">
        <f>Input_SFP!D34</f>
        <v>0</v>
      </c>
      <c r="E5" s="16">
        <f>Input_SFP!E34</f>
        <v>0</v>
      </c>
      <c r="F5" s="10" t="str">
        <f>IFERROR(C5/C3,"")</f>
        <v/>
      </c>
      <c r="G5" s="10" t="str">
        <f>IFERROR(D5/D3,"")</f>
        <v/>
      </c>
      <c r="H5" s="19" t="str">
        <f t="shared" si="0"/>
        <v/>
      </c>
      <c r="I5" s="19" t="str">
        <f t="shared" si="1"/>
        <v/>
      </c>
      <c r="J5" s="8" t="str">
        <f t="shared" si="2"/>
        <v>Naik</v>
      </c>
    </row>
    <row r="6" spans="1:10" x14ac:dyDescent="0.35">
      <c r="A6" s="8" t="s">
        <v>270</v>
      </c>
      <c r="B6" s="8" t="s">
        <v>106</v>
      </c>
      <c r="C6" s="16">
        <f>Input_PL_OCI!C3</f>
        <v>0</v>
      </c>
      <c r="D6" s="16">
        <f>Input_PL_OCI!D3</f>
        <v>0</v>
      </c>
      <c r="E6" s="16">
        <f>Input_PL_OCI!E3</f>
        <v>0</v>
      </c>
      <c r="F6" s="10">
        <f>1</f>
        <v>1</v>
      </c>
      <c r="G6" s="10">
        <f>1</f>
        <v>1</v>
      </c>
      <c r="H6" s="19" t="str">
        <f t="shared" si="0"/>
        <v/>
      </c>
      <c r="I6" s="19" t="str">
        <f t="shared" si="1"/>
        <v/>
      </c>
      <c r="J6" s="8" t="str">
        <f t="shared" si="2"/>
        <v>Naik</v>
      </c>
    </row>
    <row r="7" spans="1:10" x14ac:dyDescent="0.35">
      <c r="A7" s="8" t="s">
        <v>270</v>
      </c>
      <c r="B7" s="8" t="s">
        <v>346</v>
      </c>
      <c r="C7" s="16">
        <f>Input_PL_OCI!C6</f>
        <v>0</v>
      </c>
      <c r="D7" s="16">
        <f>Input_PL_OCI!D6</f>
        <v>0</v>
      </c>
      <c r="E7" s="16">
        <f>Input_PL_OCI!E6</f>
        <v>0</v>
      </c>
      <c r="F7" s="10" t="str">
        <f>IFERROR(C7/C6,"")</f>
        <v/>
      </c>
      <c r="G7" s="10" t="str">
        <f>IFERROR(D7/D6,"")</f>
        <v/>
      </c>
      <c r="H7" s="19" t="str">
        <f t="shared" si="0"/>
        <v/>
      </c>
      <c r="I7" s="19" t="str">
        <f t="shared" si="1"/>
        <v/>
      </c>
      <c r="J7" s="8" t="str">
        <f t="shared" si="2"/>
        <v>Naik</v>
      </c>
    </row>
    <row r="8" spans="1:10" x14ac:dyDescent="0.35">
      <c r="A8" s="8" t="s">
        <v>270</v>
      </c>
      <c r="B8" s="8" t="s">
        <v>347</v>
      </c>
      <c r="C8" s="16">
        <f>Input_PL_OCI!C16</f>
        <v>0</v>
      </c>
      <c r="D8" s="16">
        <f>Input_PL_OCI!D16</f>
        <v>0</v>
      </c>
      <c r="E8" s="16">
        <f>Input_PL_OCI!E16</f>
        <v>0</v>
      </c>
      <c r="F8" s="10" t="str">
        <f>IFERROR(C8/Input_PL_OCI!C22,"")</f>
        <v/>
      </c>
      <c r="G8" s="10" t="str">
        <f>IFERROR(D8/Input_PL_OCI!D22,"")</f>
        <v/>
      </c>
      <c r="H8" s="19" t="str">
        <f t="shared" si="0"/>
        <v/>
      </c>
      <c r="I8" s="19" t="str">
        <f t="shared" si="1"/>
        <v/>
      </c>
      <c r="J8" s="8" t="str">
        <f t="shared" si="2"/>
        <v>Naik</v>
      </c>
    </row>
    <row r="9" spans="1:10" x14ac:dyDescent="0.35">
      <c r="A9" s="8" t="s">
        <v>280</v>
      </c>
      <c r="B9" s="8" t="s">
        <v>205</v>
      </c>
      <c r="C9" s="16" t="str">
        <f>Rasio!D5</f>
        <v/>
      </c>
      <c r="D9" s="16" t="str">
        <f>Rasio!E5</f>
        <v/>
      </c>
      <c r="E9" s="16" t="str">
        <f>Rasio!F5</f>
        <v/>
      </c>
      <c r="F9" s="10" t="str">
        <f>Rasio!D5</f>
        <v/>
      </c>
      <c r="G9" s="10" t="str">
        <f>Rasio!E5</f>
        <v/>
      </c>
      <c r="H9" s="19" t="str">
        <f t="shared" si="0"/>
        <v/>
      </c>
      <c r="I9" s="19" t="str">
        <f t="shared" si="1"/>
        <v/>
      </c>
      <c r="J9" s="8" t="str">
        <f t="shared" si="2"/>
        <v>Naik</v>
      </c>
    </row>
    <row r="10" spans="1:10" x14ac:dyDescent="0.35">
      <c r="A10" s="8" t="s">
        <v>280</v>
      </c>
      <c r="B10" s="8" t="s">
        <v>209</v>
      </c>
      <c r="C10" s="16" t="str">
        <f>Rasio!D7</f>
        <v/>
      </c>
      <c r="D10" s="16" t="str">
        <f>Rasio!E7</f>
        <v/>
      </c>
      <c r="E10" s="16" t="str">
        <f>Rasio!F7</f>
        <v/>
      </c>
      <c r="F10" s="10" t="str">
        <f>Rasio!D7</f>
        <v/>
      </c>
      <c r="G10" s="10" t="str">
        <f>Rasio!E7</f>
        <v/>
      </c>
      <c r="H10" s="19" t="str">
        <f t="shared" si="0"/>
        <v/>
      </c>
      <c r="I10" s="19" t="str">
        <f t="shared" si="1"/>
        <v/>
      </c>
      <c r="J10" s="8" t="str">
        <f t="shared" si="2"/>
        <v>Naik</v>
      </c>
    </row>
    <row r="11" spans="1:10" x14ac:dyDescent="0.35">
      <c r="A11" s="8" t="s">
        <v>280</v>
      </c>
      <c r="B11" s="8" t="s">
        <v>211</v>
      </c>
      <c r="C11" s="16" t="str">
        <f>Rasio!D9</f>
        <v/>
      </c>
      <c r="D11" s="16" t="str">
        <f>Rasio!E9</f>
        <v/>
      </c>
      <c r="E11" s="16" t="str">
        <f>Rasio!F9</f>
        <v/>
      </c>
      <c r="F11" s="10" t="str">
        <f>Rasio!D9</f>
        <v/>
      </c>
      <c r="G11" s="10" t="str">
        <f>Rasio!E9</f>
        <v/>
      </c>
      <c r="H11" s="19" t="str">
        <f t="shared" si="0"/>
        <v/>
      </c>
      <c r="I11" s="19" t="str">
        <f t="shared" si="1"/>
        <v/>
      </c>
      <c r="J11" s="8" t="str">
        <f t="shared" si="2"/>
        <v>Naik</v>
      </c>
    </row>
    <row r="12" spans="1:10" x14ac:dyDescent="0.35">
      <c r="A12" s="8" t="s">
        <v>294</v>
      </c>
      <c r="B12" s="8" t="s">
        <v>348</v>
      </c>
      <c r="C12" s="16">
        <f>Input_IFRS9_Detail!C15</f>
        <v>0</v>
      </c>
      <c r="D12" s="16">
        <f>Input_IFRS9_Detail!D15</f>
        <v>0</v>
      </c>
      <c r="E12" s="16">
        <f>Input_IFRS9_Detail!E15</f>
        <v>0</v>
      </c>
      <c r="F12" s="10" t="str">
        <f>IFERROR(C12/Input_IFRS9_Detail!C8,"")</f>
        <v/>
      </c>
      <c r="G12" s="10" t="str">
        <f>IFERROR(D12/Input_IFRS9_Detail!D8,"")</f>
        <v/>
      </c>
      <c r="H12" s="19" t="str">
        <f t="shared" si="0"/>
        <v/>
      </c>
      <c r="I12" s="19" t="str">
        <f t="shared" si="1"/>
        <v/>
      </c>
      <c r="J12" s="8" t="str">
        <f t="shared" si="2"/>
        <v>Naik</v>
      </c>
    </row>
  </sheetData>
  <mergeCells count="1"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1"/>
  <sheetViews>
    <sheetView showGridLines="0" workbookViewId="0"/>
  </sheetViews>
  <sheetFormatPr defaultRowHeight="14.5" x14ac:dyDescent="0.35"/>
  <cols>
    <col min="1" max="1" width="26" customWidth="1"/>
    <col min="2" max="3" width="14" customWidth="1"/>
    <col min="4" max="4" width="12" customWidth="1"/>
    <col min="5" max="5" width="34" customWidth="1"/>
    <col min="6" max="6" width="26" customWidth="1"/>
    <col min="7" max="7" width="20" customWidth="1"/>
  </cols>
  <sheetData>
    <row r="1" spans="1:7" ht="17" x14ac:dyDescent="0.35">
      <c r="A1" s="29" t="s">
        <v>349</v>
      </c>
      <c r="B1" s="30"/>
      <c r="C1" s="30"/>
      <c r="D1" s="30"/>
      <c r="E1" s="30"/>
      <c r="F1" s="30"/>
      <c r="G1" s="30"/>
    </row>
    <row r="2" spans="1:7" x14ac:dyDescent="0.35">
      <c r="A2" s="3" t="s">
        <v>350</v>
      </c>
      <c r="B2" s="3" t="s">
        <v>305</v>
      </c>
      <c r="C2" s="3" t="s">
        <v>306</v>
      </c>
      <c r="D2" s="3" t="s">
        <v>351</v>
      </c>
      <c r="E2" s="3" t="s">
        <v>308</v>
      </c>
      <c r="F2" s="3" t="s">
        <v>352</v>
      </c>
      <c r="G2" s="3" t="s">
        <v>133</v>
      </c>
    </row>
    <row r="3" spans="1:7" x14ac:dyDescent="0.35">
      <c r="A3" s="8" t="s">
        <v>106</v>
      </c>
      <c r="B3" s="8">
        <f>Input_IFRS17_Detail!C3</f>
        <v>0</v>
      </c>
      <c r="C3" s="16">
        <f>Input_IFRS17_Detail!D3</f>
        <v>0</v>
      </c>
      <c r="D3" s="10" t="str">
        <f t="shared" ref="D3:D11" si="0">IFERROR((B3/C3)-1,"")</f>
        <v/>
      </c>
      <c r="E3" s="16" t="str">
        <f>IF(B3&gt;0,"Pendapatan asuransi tersedia","Belum diisi")</f>
        <v>Belum diisi</v>
      </c>
      <c r="F3" s="16" t="s">
        <v>353</v>
      </c>
      <c r="G3" s="16"/>
    </row>
    <row r="4" spans="1:7" x14ac:dyDescent="0.35">
      <c r="A4" s="8" t="s">
        <v>346</v>
      </c>
      <c r="B4" s="8">
        <f>Input_IFRS17_Detail!C9</f>
        <v>0</v>
      </c>
      <c r="C4" s="16">
        <f>Input_IFRS17_Detail!D9</f>
        <v>0</v>
      </c>
      <c r="D4" s="10" t="str">
        <f t="shared" si="0"/>
        <v/>
      </c>
      <c r="E4" s="16" t="str">
        <f>IF(B4&gt;0,"Underwriting/service result positif","Underwriting/service result negatif")</f>
        <v>Underwriting/service result negatif</v>
      </c>
      <c r="F4" s="16" t="s">
        <v>354</v>
      </c>
      <c r="G4" s="16"/>
    </row>
    <row r="5" spans="1:7" x14ac:dyDescent="0.35">
      <c r="A5" s="8" t="s">
        <v>205</v>
      </c>
      <c r="B5" s="8" t="str">
        <f>Rasio!D5</f>
        <v/>
      </c>
      <c r="C5" s="16" t="str">
        <f>Rasio!E5</f>
        <v/>
      </c>
      <c r="D5" s="10" t="str">
        <f t="shared" si="0"/>
        <v/>
      </c>
      <c r="E5" s="16" t="str">
        <f>IF(B5&lt;=Setup!$B$17,"Loss ratio terkendali","Loss ratio tinggi")</f>
        <v>Loss ratio tinggi</v>
      </c>
      <c r="F5" s="16" t="s">
        <v>210</v>
      </c>
      <c r="G5" s="16"/>
    </row>
    <row r="6" spans="1:7" x14ac:dyDescent="0.35">
      <c r="A6" s="8" t="s">
        <v>207</v>
      </c>
      <c r="B6" s="8" t="str">
        <f>Rasio!D6</f>
        <v/>
      </c>
      <c r="C6" s="16" t="str">
        <f>Rasio!E6</f>
        <v/>
      </c>
      <c r="D6" s="10" t="str">
        <f t="shared" si="0"/>
        <v/>
      </c>
      <c r="E6" s="16" t="str">
        <f>IF(B6&lt;=Setup!$B$18,"Expense ratio efisien","Expense ratio tinggi")</f>
        <v>Expense ratio tinggi</v>
      </c>
      <c r="F6" s="16" t="s">
        <v>208</v>
      </c>
      <c r="G6" s="16"/>
    </row>
    <row r="7" spans="1:7" x14ac:dyDescent="0.35">
      <c r="A7" s="8" t="s">
        <v>209</v>
      </c>
      <c r="B7" s="8" t="str">
        <f>Rasio!D7</f>
        <v/>
      </c>
      <c r="C7" s="16" t="str">
        <f>Rasio!E7</f>
        <v/>
      </c>
      <c r="D7" s="10" t="str">
        <f t="shared" si="0"/>
        <v/>
      </c>
      <c r="E7" s="16" t="str">
        <f>IF(B7&lt;=Setup!$B$19,"Combined ratio sehat","Combined ratio &gt; 100%")</f>
        <v>Combined ratio &gt; 100%</v>
      </c>
      <c r="F7" s="16" t="s">
        <v>355</v>
      </c>
      <c r="G7" s="16"/>
    </row>
    <row r="8" spans="1:7" x14ac:dyDescent="0.35">
      <c r="A8" s="8" t="s">
        <v>202</v>
      </c>
      <c r="B8" s="8" t="str">
        <f>Rasio!D8</f>
        <v/>
      </c>
      <c r="C8" s="16" t="str">
        <f>Rasio!E8</f>
        <v/>
      </c>
      <c r="D8" s="10" t="str">
        <f t="shared" si="0"/>
        <v/>
      </c>
      <c r="E8" s="16" t="str">
        <f>IF(B8&gt;=Setup!$B$20,"Retensi memadai","Ketergantungan reasuransi tinggi")</f>
        <v>Retensi memadai</v>
      </c>
      <c r="F8" s="16" t="s">
        <v>356</v>
      </c>
      <c r="G8" s="16"/>
    </row>
    <row r="9" spans="1:7" x14ac:dyDescent="0.35">
      <c r="A9" s="8" t="s">
        <v>211</v>
      </c>
      <c r="B9" s="8" t="str">
        <f>Rasio!D9</f>
        <v/>
      </c>
      <c r="C9" s="16" t="str">
        <f>Rasio!E9</f>
        <v/>
      </c>
      <c r="D9" s="10" t="str">
        <f t="shared" si="0"/>
        <v/>
      </c>
      <c r="E9" s="16" t="str">
        <f>IF(B9&lt;=Setup!$B$24,"Cadangan vs modal terkendali","Cadangan berat terhadap modal")</f>
        <v>Cadangan berat terhadap modal</v>
      </c>
      <c r="F9" s="16" t="s">
        <v>357</v>
      </c>
      <c r="G9" s="16"/>
    </row>
    <row r="10" spans="1:7" x14ac:dyDescent="0.35">
      <c r="A10" s="8" t="s">
        <v>213</v>
      </c>
      <c r="B10" s="8" t="str">
        <f>Rasio!D10</f>
        <v/>
      </c>
      <c r="C10" s="16" t="str">
        <f>Rasio!E10</f>
        <v/>
      </c>
      <c r="D10" s="10" t="str">
        <f t="shared" si="0"/>
        <v/>
      </c>
      <c r="E10" s="16" t="str">
        <f>IF(B10&lt;=1,"Eksposur reasuransi moderat","Eksposur reasuransi besar")</f>
        <v>Eksposur reasuransi besar</v>
      </c>
      <c r="F10" s="16" t="s">
        <v>358</v>
      </c>
      <c r="G10" s="16"/>
    </row>
    <row r="11" spans="1:7" x14ac:dyDescent="0.35">
      <c r="A11" s="8" t="s">
        <v>359</v>
      </c>
      <c r="B11" s="8" t="str">
        <f>IFERROR(Input_IFRS17_Detail!C17/Input_IFRS17_Detail!C16,"")</f>
        <v/>
      </c>
      <c r="C11" s="16" t="str">
        <f>IFERROR(Input_IFRS17_Detail!D17/Input_IFRS17_Detail!D16,"")</f>
        <v/>
      </c>
      <c r="D11" s="10" t="str">
        <f t="shared" si="0"/>
        <v/>
      </c>
      <c r="E11" s="16" t="str">
        <f>IF(B11&gt;1,"LIC &gt; LRC","LRC &gt;= LIC atau data belum lengkap")</f>
        <v>LIC &gt; LRC</v>
      </c>
      <c r="F11" s="16" t="s">
        <v>360</v>
      </c>
      <c r="G11" s="16"/>
    </row>
  </sheetData>
  <mergeCells count="1"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9"/>
  <sheetViews>
    <sheetView showGridLines="0" workbookViewId="0"/>
  </sheetViews>
  <sheetFormatPr defaultRowHeight="14.5" x14ac:dyDescent="0.35"/>
  <cols>
    <col min="1" max="1" width="28" customWidth="1"/>
    <col min="2" max="3" width="14" customWidth="1"/>
    <col min="4" max="4" width="12" customWidth="1"/>
    <col min="5" max="5" width="34" customWidth="1"/>
    <col min="6" max="6" width="24" customWidth="1"/>
    <col min="7" max="7" width="20" customWidth="1"/>
  </cols>
  <sheetData>
    <row r="1" spans="1:7" ht="17" x14ac:dyDescent="0.35">
      <c r="A1" s="29" t="s">
        <v>361</v>
      </c>
      <c r="B1" s="30"/>
      <c r="C1" s="30"/>
      <c r="D1" s="30"/>
      <c r="E1" s="30"/>
      <c r="F1" s="30"/>
      <c r="G1" s="30"/>
    </row>
    <row r="2" spans="1:7" x14ac:dyDescent="0.35">
      <c r="A2" s="3" t="s">
        <v>350</v>
      </c>
      <c r="B2" s="3" t="s">
        <v>305</v>
      </c>
      <c r="C2" s="3" t="s">
        <v>306</v>
      </c>
      <c r="D2" s="3" t="s">
        <v>351</v>
      </c>
      <c r="E2" s="3" t="s">
        <v>308</v>
      </c>
      <c r="F2" s="3" t="s">
        <v>352</v>
      </c>
      <c r="G2" s="3" t="s">
        <v>133</v>
      </c>
    </row>
    <row r="3" spans="1:7" x14ac:dyDescent="0.35">
      <c r="A3" s="8" t="s">
        <v>362</v>
      </c>
      <c r="B3" s="8">
        <f>Input_IFRS9_Detail!C8</f>
        <v>0</v>
      </c>
      <c r="C3" s="16">
        <f>Input_IFRS9_Detail!D8</f>
        <v>0</v>
      </c>
      <c r="D3" s="10" t="str">
        <f t="shared" ref="D3:D9" si="0">IFERROR((B3/C3)-1,"")</f>
        <v/>
      </c>
      <c r="E3" s="16" t="str">
        <f>IF(B3&gt;0,"Basis ECL tersedia","Belum diisi")</f>
        <v>Belum diisi</v>
      </c>
      <c r="F3" s="16" t="s">
        <v>363</v>
      </c>
      <c r="G3" s="16"/>
    </row>
    <row r="4" spans="1:7" x14ac:dyDescent="0.35">
      <c r="A4" s="8" t="s">
        <v>364</v>
      </c>
      <c r="B4" s="8">
        <f>Input_IFRS9_Detail!C15</f>
        <v>0</v>
      </c>
      <c r="C4" s="16">
        <f>Input_IFRS9_Detail!D15</f>
        <v>0</v>
      </c>
      <c r="D4" s="10" t="str">
        <f t="shared" si="0"/>
        <v/>
      </c>
      <c r="E4" s="16" t="str">
        <f>IF(B4&gt;0,"Allowance ECL tersedia","Belum diisi")</f>
        <v>Belum diisi</v>
      </c>
      <c r="F4" s="16" t="s">
        <v>365</v>
      </c>
      <c r="G4" s="16"/>
    </row>
    <row r="5" spans="1:7" x14ac:dyDescent="0.35">
      <c r="A5" s="8" t="s">
        <v>328</v>
      </c>
      <c r="B5" s="8" t="str">
        <f>Rasio!D15</f>
        <v/>
      </c>
      <c r="C5" s="16" t="str">
        <f>Rasio!E15</f>
        <v/>
      </c>
      <c r="D5" s="10" t="str">
        <f t="shared" si="0"/>
        <v/>
      </c>
      <c r="E5" s="16" t="str">
        <f>IF(B5&gt;=Setup!$B$20,"Coverage memadai","Coverage tipis / incomplete")</f>
        <v>Coverage memadai</v>
      </c>
      <c r="F5" s="16" t="s">
        <v>366</v>
      </c>
      <c r="G5" s="16"/>
    </row>
    <row r="6" spans="1:7" x14ac:dyDescent="0.35">
      <c r="A6" s="8" t="s">
        <v>330</v>
      </c>
      <c r="B6" s="8" t="str">
        <f>Rasio!D16</f>
        <v/>
      </c>
      <c r="C6" s="16" t="str">
        <f>Rasio!E16</f>
        <v/>
      </c>
      <c r="D6" s="10" t="str">
        <f t="shared" si="0"/>
        <v/>
      </c>
      <c r="E6" s="16" t="str">
        <f>IF(B6&lt;=Setup!$B$21,"Migrasi kredit terkendali","Migrasi kredit meningkat")</f>
        <v>Migrasi kredit meningkat</v>
      </c>
      <c r="F6" s="16" t="s">
        <v>367</v>
      </c>
      <c r="G6" s="16"/>
    </row>
    <row r="7" spans="1:7" x14ac:dyDescent="0.35">
      <c r="A7" s="8" t="s">
        <v>368</v>
      </c>
      <c r="B7" s="8">
        <f>Input_IFRS9_Detail!C21</f>
        <v>0</v>
      </c>
      <c r="C7" s="16">
        <f>Input_IFRS9_Detail!D21</f>
        <v>0</v>
      </c>
      <c r="D7" s="10" t="str">
        <f t="shared" si="0"/>
        <v/>
      </c>
      <c r="E7" s="16" t="str">
        <f>IF(B7&gt;=0,"Cadangan OCI positif","Cadangan OCI negatif")</f>
        <v>Cadangan OCI positif</v>
      </c>
      <c r="F7" s="16" t="s">
        <v>369</v>
      </c>
      <c r="G7" s="16"/>
    </row>
    <row r="8" spans="1:7" x14ac:dyDescent="0.35">
      <c r="A8" s="8" t="s">
        <v>253</v>
      </c>
      <c r="B8" s="8" t="str">
        <f>Input_IFRS9_Detail!C25</f>
        <v/>
      </c>
      <c r="C8" s="16" t="str">
        <f>Input_IFRS9_Detail!D25</f>
        <v/>
      </c>
      <c r="D8" s="10" t="str">
        <f t="shared" si="0"/>
        <v/>
      </c>
      <c r="E8" s="16" t="str">
        <f>IF(B8&gt;0,"Yield investasi tersedia","Belum diisi")</f>
        <v>Yield investasi tersedia</v>
      </c>
      <c r="F8" s="16" t="s">
        <v>370</v>
      </c>
      <c r="G8" s="16"/>
    </row>
    <row r="9" spans="1:7" x14ac:dyDescent="0.35">
      <c r="A9" s="8" t="s">
        <v>245</v>
      </c>
      <c r="B9" s="8">
        <f>Input_IFRS9_Detail!C18</f>
        <v>0</v>
      </c>
      <c r="C9" s="16">
        <f>Input_IFRS9_Detail!D18</f>
        <v>0</v>
      </c>
      <c r="D9" s="10" t="str">
        <f t="shared" si="0"/>
        <v/>
      </c>
      <c r="E9" s="16" t="str">
        <f>IF(B9&gt;0,"Ada exposure bermasalah","Tidak ada / belum diisi")</f>
        <v>Tidak ada / belum diisi</v>
      </c>
      <c r="F9" s="16" t="s">
        <v>236</v>
      </c>
      <c r="G9" s="16"/>
    </row>
  </sheetData>
  <mergeCells count="1">
    <mergeCell ref="A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8"/>
  <sheetViews>
    <sheetView showGridLines="0" workbookViewId="0"/>
  </sheetViews>
  <sheetFormatPr defaultRowHeight="14.5" x14ac:dyDescent="0.35"/>
  <cols>
    <col min="1" max="1" width="34" customWidth="1"/>
    <col min="2" max="2" width="120" customWidth="1"/>
  </cols>
  <sheetData>
    <row r="1" spans="1:8" ht="17" x14ac:dyDescent="0.35">
      <c r="A1" s="29" t="s">
        <v>371</v>
      </c>
      <c r="B1" s="30"/>
      <c r="C1" s="30"/>
      <c r="D1" s="30"/>
      <c r="E1" s="30"/>
      <c r="F1" s="30"/>
      <c r="G1" s="30"/>
      <c r="H1" s="30"/>
    </row>
    <row r="3" spans="1:8" x14ac:dyDescent="0.35">
      <c r="A3" s="1" t="s">
        <v>372</v>
      </c>
      <c r="B3" s="2" t="str">
        <f>Setup!B3</f>
        <v>&lt;isi nama perusahaan&gt;</v>
      </c>
      <c r="H3" s="2"/>
    </row>
    <row r="4" spans="1:8" x14ac:dyDescent="0.35">
      <c r="A4" s="1" t="s">
        <v>373</v>
      </c>
      <c r="B4" s="2">
        <f>Setup!B5</f>
        <v>2025</v>
      </c>
      <c r="H4" s="2"/>
    </row>
    <row r="5" spans="1:8" x14ac:dyDescent="0.35">
      <c r="A5" s="1" t="s">
        <v>374</v>
      </c>
      <c r="B5" s="2" t="str">
        <f>"Perusahaan " &amp; Setup!B3 &amp; " dianalisis sebagai entitas asuransi umum untuk tahun " &amp; Setup!B5 &amp; ". "&amp; IF(Rasio!D3&lt;&gt;"","ROA " &amp; TEXT(Rasio!D3,"0.0%") &amp; ", ","")&amp; IF(Rasio!D4&lt;&gt;"","ROE " &amp; TEXT(Rasio!D4,"0.0%") &amp; ", ","")&amp; IF(Rasio!D7&lt;&gt;"","Combined ratio " &amp; TEXT(Rasio!D7,"0.0%") &amp; ". ","")&amp; IF(Rasio!D8&gt;=Setup!B20,"Retensi memadai. ","Ketergantungan reasuransi relatif tinggi. ")&amp; IF(Rasio!D13&gt;=Setup!B21,"Coverage ECL memadai. ","Coverage ECL tipis / belum lengkap. ")</f>
        <v xml:space="preserve">Perusahaan &lt;isi nama perusahaan&gt; dianalisis sebagai entitas asuransi umum untuk tahun 2025. Retensi memadai. Coverage ECL memadai. </v>
      </c>
      <c r="H5" s="2"/>
    </row>
    <row r="6" spans="1:8" x14ac:dyDescent="0.35">
      <c r="A6" s="2"/>
      <c r="B6" s="2"/>
      <c r="H6" s="2"/>
    </row>
    <row r="7" spans="1:8" x14ac:dyDescent="0.35">
      <c r="A7" s="1" t="s">
        <v>375</v>
      </c>
      <c r="B7" s="2" t="str">
        <f>"Total aset " &amp; TEXT(Input_SFP!C18,"#,##0") &amp; ", total liabilitas " &amp; TEXT(Input_SFP!C26,"#,##0") &amp; ", total ekuitas " &amp; TEXT(Input_SFP!C34,"#,##0") &amp; ". "&amp; IF(Rasio!D11&lt;=Setup!B14,"Leverage neraca masih terkendali.","Leverage neraca tinggi.")</f>
        <v>Total aset ,0, total liabilitas ,0, total ekuitas ,0. Leverage neraca tinggi.</v>
      </c>
      <c r="H7" s="2"/>
    </row>
    <row r="8" spans="1:8" x14ac:dyDescent="0.35">
      <c r="A8" s="1" t="s">
        <v>376</v>
      </c>
      <c r="B8" s="2" t="str">
        <f>"Profit tahun berjalan " &amp; TEXT(Input_PL_OCI!C16,"#,##0") &amp; " dengan ROE " &amp; TEXT(Rasio!D4,"0.0%") &amp; " dan combined ratio " &amp; TEXT(Rasio!D7,"0.0%") &amp; ". "&amp; IF(Rasio!D7&lt;=Setup!B19,"Kinerja underwriting relatif sehat.","Profit underwriting tertekan.")</f>
        <v>Profit tahun berjalan ,0 dengan ROE  dan combined ratio . Profit underwriting tertekan.</v>
      </c>
      <c r="H8" s="2"/>
    </row>
    <row r="9" spans="1:8" x14ac:dyDescent="0.35">
      <c r="A9" s="1" t="s">
        <v>377</v>
      </c>
      <c r="B9" s="2" t="str">
        <f>"Insurance revenue " &amp; TEXT(Input_IFRS17_Detail!C3,"#,##0") &amp; ", gross claims incurred " &amp; TEXT(Input_IFRS17_Detail!C4,"#,##0") &amp; ", retention ratio " &amp; TEXT(Rasio!D8,"0.0%") &amp; ", reserve leverage " &amp; TEXT(Rasio!D9,"0.00x") &amp; ". "&amp; IF(Rasio!D9&lt;=Setup!B24,"Cadangan teknis relatif tertopang modal.","Cadangan teknis berat dibanding modal.")</f>
        <v>Insurance revenue ,0, gross claims incurred ,0, retention ratio , reserve leverage . Cadangan teknis berat dibanding modal.</v>
      </c>
      <c r="H9" s="2"/>
    </row>
    <row r="10" spans="1:8" x14ac:dyDescent="0.35">
      <c r="A10" s="1" t="s">
        <v>378</v>
      </c>
      <c r="B10" s="2" t="str">
        <f>"Aset keuangan subject to ECL " &amp; TEXT(Input_IFRS9_Detail!C8,"#,##0") &amp; ", allowance ECL " &amp; TEXT(Input_IFRS9_Detail!C15,"#,##0") &amp; ", coverage " &amp; TEXT(Rasio!D13,"0.0%") &amp; ", Stage 2+3 ratio " &amp; TEXT(Rasio!D14,"0.0%") &amp; ". "&amp; IF(Rasio!D14&lt;=Setup!B22,"Kualitas portofolio kredit relatif baik.","Ada indikasi peningkatan risiko kredit.")</f>
        <v>Aset keuangan subject to ECL ,0, allowance ECL ,0, coverage , Stage 2+3 ratio . Ada indikasi peningkatan risiko kredit.</v>
      </c>
      <c r="H10" s="2"/>
    </row>
    <row r="11" spans="1:8" x14ac:dyDescent="0.35">
      <c r="A11" s="1" t="s">
        <v>379</v>
      </c>
      <c r="B11" s="2" t="str">
        <f>"Arus kas operasi " &amp; TEXT(Input_CF!C3,"#,##0") &amp; " dan OCF/Profit " &amp; TEXT(Rasio!D15,"0.0%") &amp; ". "&amp; IF(Rasio!D15&gt;=Setup!B23,"Konversi laba ke kas baik.","Laba belum kuat terkonversi menjadi kas.")</f>
        <v>Arus kas operasi ,0 dan OCF/Profit . Konversi laba ke kas baik.</v>
      </c>
      <c r="H11" s="2"/>
    </row>
    <row r="12" spans="1:8" x14ac:dyDescent="0.35">
      <c r="A12" s="1" t="s">
        <v>380</v>
      </c>
      <c r="B12" s="2" t="e">
        <f ca="1">_xludf.TEXTJOIN("; ",TRUE,IF(Rasio!D7&gt;Setup!B19,"combined ratio di atas ambang",""),IF(Rasio!D8&lt;Setup!B20,"retention ratio rendah",""),IF(Rasio!D9&gt;Setup!B24,"reserve leverage tinggi",""),IF(Rasio!D13&lt;Setup!B21,"coverage ECL tipis / belum lengkap",""),IF(Rasio!D14&gt;Setup!B22,"Stage 2+3 ratio tinggi",""),IF(Rasio!D15&lt;Setup!B23,"arus kas operasi lemah terhadap laba",""))</f>
        <v>#NAME?</v>
      </c>
      <c r="H12" s="2"/>
    </row>
    <row r="13" spans="1:8" x14ac:dyDescent="0.35">
      <c r="A13" s="2"/>
      <c r="B13" s="2"/>
      <c r="H13" s="2"/>
    </row>
    <row r="14" spans="1:8" x14ac:dyDescent="0.35">
      <c r="A14" s="1" t="s">
        <v>381</v>
      </c>
      <c r="B14" s="2"/>
      <c r="H14" s="2"/>
    </row>
    <row r="15" spans="1:8" x14ac:dyDescent="0.35">
      <c r="A15" s="1" t="s">
        <v>382</v>
      </c>
      <c r="B15" s="2" t="str">
        <f>IF(COUNTA(Input_IFRS17_Detail!C3:C32)&gt;=10,"Ya","Belum")</f>
        <v>Belum</v>
      </c>
      <c r="H15" s="2"/>
    </row>
    <row r="16" spans="1:8" x14ac:dyDescent="0.35">
      <c r="A16" s="1" t="s">
        <v>383</v>
      </c>
      <c r="B16" s="2" t="str">
        <f>IF(COUNTA(Input_IFRS9_Detail!C3:C21)&gt;=8,"Ya","Belum")</f>
        <v>Belum</v>
      </c>
      <c r="H16" s="2"/>
    </row>
    <row r="17" spans="1:8" x14ac:dyDescent="0.35">
      <c r="A17" s="1" t="s">
        <v>384</v>
      </c>
      <c r="B17" s="2" t="str">
        <f>IF(ABS(Input_SFP!C18-Input_SFP!C35)&lt;1,"Ya","Tidak")</f>
        <v>Ya</v>
      </c>
      <c r="H17" s="2"/>
    </row>
    <row r="18" spans="1:8" x14ac:dyDescent="0.35">
      <c r="A18" s="1" t="s">
        <v>385</v>
      </c>
      <c r="B18" s="2" t="e">
        <f>IF(ABS(Rasio!D16-1)&lt;0.02,"Ya","Tidak")</f>
        <v>#VALUE!</v>
      </c>
      <c r="H18" s="2"/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7"/>
  <sheetViews>
    <sheetView showGridLines="0" workbookViewId="0"/>
  </sheetViews>
  <sheetFormatPr defaultRowHeight="14.5" x14ac:dyDescent="0.35"/>
  <cols>
    <col min="1" max="1" width="22" customWidth="1"/>
    <col min="2" max="2" width="18" customWidth="1"/>
    <col min="3" max="3" width="22" customWidth="1"/>
    <col min="4" max="4" width="18" customWidth="1"/>
    <col min="5" max="5" width="22" customWidth="1"/>
    <col min="6" max="6" width="18" customWidth="1"/>
    <col min="7" max="7" width="22" customWidth="1"/>
    <col min="8" max="8" width="18" customWidth="1"/>
    <col min="9" max="9" width="22" customWidth="1"/>
    <col min="10" max="10" width="18" customWidth="1"/>
  </cols>
  <sheetData>
    <row r="1" spans="1:10" ht="17" x14ac:dyDescent="0.35">
      <c r="A1" s="29" t="s">
        <v>386</v>
      </c>
      <c r="B1" s="30"/>
      <c r="C1" s="30"/>
      <c r="D1" s="30"/>
      <c r="E1" s="30"/>
      <c r="F1" s="30"/>
      <c r="G1" s="30"/>
      <c r="H1" s="30"/>
      <c r="I1" s="30"/>
      <c r="J1" s="30"/>
    </row>
    <row r="3" spans="1:10" ht="15.5" x14ac:dyDescent="0.35">
      <c r="A3" s="20" t="s">
        <v>387</v>
      </c>
      <c r="B3" s="21">
        <f>Input_SFP!C18</f>
        <v>0</v>
      </c>
      <c r="C3" s="22" t="s">
        <v>388</v>
      </c>
      <c r="D3" s="23">
        <f>Input_SFP!C26</f>
        <v>0</v>
      </c>
      <c r="E3" s="22" t="s">
        <v>389</v>
      </c>
      <c r="F3" s="23">
        <f>Input_SFP!C34</f>
        <v>0</v>
      </c>
      <c r="G3" s="22" t="s">
        <v>390</v>
      </c>
      <c r="H3" s="21">
        <f>Input_PL_OCI!C16</f>
        <v>0</v>
      </c>
      <c r="I3" s="20" t="s">
        <v>391</v>
      </c>
      <c r="J3" s="21">
        <f>Input_PL_OCI!C21</f>
        <v>0</v>
      </c>
    </row>
    <row r="4" spans="1:10" x14ac:dyDescent="0.35">
      <c r="A4" s="2"/>
      <c r="B4" s="2"/>
      <c r="H4" s="2"/>
      <c r="I4" s="2"/>
      <c r="J4" s="2"/>
    </row>
    <row r="5" spans="1:10" x14ac:dyDescent="0.35">
      <c r="A5" s="2"/>
      <c r="B5" s="2"/>
      <c r="H5" s="2"/>
      <c r="I5" s="2"/>
      <c r="J5" s="2"/>
    </row>
    <row r="6" spans="1:10" ht="15.5" x14ac:dyDescent="0.35">
      <c r="A6" s="20" t="s">
        <v>310</v>
      </c>
      <c r="B6" s="24" t="str">
        <f>Rasio!D3</f>
        <v/>
      </c>
      <c r="C6" s="22" t="s">
        <v>312</v>
      </c>
      <c r="D6" s="25" t="str">
        <f>Rasio!D4</f>
        <v/>
      </c>
      <c r="E6" s="22" t="s">
        <v>392</v>
      </c>
      <c r="F6" s="26" t="str">
        <f>Rasio!D7</f>
        <v/>
      </c>
      <c r="G6" s="22" t="s">
        <v>393</v>
      </c>
      <c r="H6" s="24" t="str">
        <f>Rasio!D8</f>
        <v/>
      </c>
      <c r="I6" s="20" t="s">
        <v>394</v>
      </c>
      <c r="J6" s="24" t="str">
        <f>Rasio!D13</f>
        <v/>
      </c>
    </row>
    <row r="7" spans="1:10" x14ac:dyDescent="0.35">
      <c r="A7" s="2"/>
      <c r="B7" s="2"/>
      <c r="H7" s="2"/>
      <c r="I7" s="2"/>
      <c r="J7" s="2"/>
    </row>
    <row r="8" spans="1:10" x14ac:dyDescent="0.35">
      <c r="A8" s="2"/>
      <c r="B8" s="2"/>
      <c r="H8" s="2"/>
      <c r="I8" s="2"/>
      <c r="J8" s="2"/>
    </row>
    <row r="9" spans="1:10" x14ac:dyDescent="0.35">
      <c r="A9" s="20" t="s">
        <v>395</v>
      </c>
      <c r="B9" s="2"/>
      <c r="F9" s="27" t="s">
        <v>396</v>
      </c>
      <c r="H9" s="2"/>
      <c r="I9" s="2"/>
      <c r="J9" s="2"/>
    </row>
    <row r="10" spans="1:10" x14ac:dyDescent="0.35">
      <c r="A10" s="2" t="str">
        <f>Auto_Analysis!B5</f>
        <v xml:space="preserve">Perusahaan &lt;isi nama perusahaan&gt; dianalisis sebagai entitas asuransi umum untuk tahun 2025. Retensi memadai. Coverage ECL memadai. </v>
      </c>
      <c r="B10" s="2"/>
      <c r="F10" s="28" t="e">
        <f ca="1">Auto_Analysis!B12</f>
        <v>#NAME?</v>
      </c>
      <c r="H10" s="2"/>
      <c r="I10" s="2"/>
      <c r="J10" s="2"/>
    </row>
    <row r="11" spans="1:10" x14ac:dyDescent="0.35">
      <c r="A11" s="2"/>
      <c r="B11" s="2"/>
      <c r="H11" s="2"/>
      <c r="I11" s="2"/>
      <c r="J11" s="2"/>
    </row>
    <row r="12" spans="1:10" x14ac:dyDescent="0.35">
      <c r="A12" s="2"/>
      <c r="B12" s="2"/>
      <c r="H12" s="2"/>
      <c r="I12" s="2"/>
      <c r="J12" s="2"/>
    </row>
    <row r="13" spans="1:10" x14ac:dyDescent="0.35">
      <c r="A13" s="20" t="s">
        <v>397</v>
      </c>
      <c r="B13" s="2"/>
      <c r="H13" s="2"/>
      <c r="I13" s="2"/>
      <c r="J13" s="2"/>
    </row>
    <row r="14" spans="1:10" x14ac:dyDescent="0.35">
      <c r="A14" s="2" t="s">
        <v>398</v>
      </c>
      <c r="B14" s="2" t="str">
        <f>Auto_Analysis!B15</f>
        <v>Belum</v>
      </c>
      <c r="H14" s="2"/>
      <c r="I14" s="2"/>
      <c r="J14" s="2"/>
    </row>
    <row r="15" spans="1:10" x14ac:dyDescent="0.35">
      <c r="A15" s="2" t="s">
        <v>399</v>
      </c>
      <c r="B15" s="2" t="str">
        <f>Auto_Analysis!B16</f>
        <v>Belum</v>
      </c>
      <c r="H15" s="2"/>
      <c r="I15" s="2"/>
      <c r="J15" s="2"/>
    </row>
    <row r="16" spans="1:10" x14ac:dyDescent="0.35">
      <c r="A16" s="2" t="s">
        <v>400</v>
      </c>
      <c r="B16" s="2" t="str">
        <f>Auto_Analysis!B17</f>
        <v>Ya</v>
      </c>
      <c r="H16" s="2"/>
      <c r="I16" s="2"/>
      <c r="J16" s="2"/>
    </row>
    <row r="17" spans="1:10" x14ac:dyDescent="0.35">
      <c r="A17" s="2" t="s">
        <v>401</v>
      </c>
      <c r="B17" s="2" t="e">
        <f>Auto_Analysis!B18</f>
        <v>#VALUE!</v>
      </c>
      <c r="H17" s="2"/>
      <c r="I17" s="2"/>
      <c r="J17" s="2"/>
    </row>
  </sheetData>
  <mergeCells count="1">
    <mergeCell ref="A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5"/>
  <sheetViews>
    <sheetView showGridLines="0" workbookViewId="0"/>
  </sheetViews>
  <sheetFormatPr defaultRowHeight="14.5" x14ac:dyDescent="0.35"/>
  <cols>
    <col min="1" max="1" width="34" customWidth="1"/>
    <col min="2" max="2" width="18" customWidth="1"/>
    <col min="3" max="3" width="14" customWidth="1"/>
    <col min="4" max="4" width="18" customWidth="1"/>
    <col min="5" max="5" width="28" customWidth="1"/>
    <col min="6" max="6" width="20" customWidth="1"/>
  </cols>
  <sheetData>
    <row r="1" spans="1:6" ht="17" x14ac:dyDescent="0.35">
      <c r="A1" s="29" t="s">
        <v>402</v>
      </c>
      <c r="B1" s="30"/>
      <c r="C1" s="30"/>
      <c r="D1" s="30"/>
      <c r="E1" s="30"/>
      <c r="F1" s="30"/>
    </row>
    <row r="2" spans="1:6" x14ac:dyDescent="0.35">
      <c r="A2" s="3" t="s">
        <v>403</v>
      </c>
      <c r="B2" s="3" t="s">
        <v>404</v>
      </c>
      <c r="C2" s="3" t="s">
        <v>405</v>
      </c>
      <c r="D2" s="3" t="s">
        <v>406</v>
      </c>
      <c r="E2" s="3" t="s">
        <v>407</v>
      </c>
      <c r="F2" s="3" t="s">
        <v>133</v>
      </c>
    </row>
    <row r="3" spans="1:6" x14ac:dyDescent="0.35">
      <c r="A3" s="8" t="s">
        <v>408</v>
      </c>
      <c r="B3" s="8" t="str">
        <f>IF(ABS(Input_SFP!C18-Input_SFP!C35)&lt;1,"OK","CEK")</f>
        <v>OK</v>
      </c>
      <c r="C3" s="16" t="str">
        <f t="shared" ref="C3:C15" si="0">B3</f>
        <v>OK</v>
      </c>
      <c r="D3" s="16" t="s">
        <v>264</v>
      </c>
      <c r="E3" s="16" t="s">
        <v>409</v>
      </c>
      <c r="F3" s="16"/>
    </row>
    <row r="4" spans="1:6" x14ac:dyDescent="0.35">
      <c r="A4" s="8" t="s">
        <v>410</v>
      </c>
      <c r="B4" s="8" t="str">
        <f>IF(ABS(Input_CF!C8-Input_SFP!C3)&lt;1,"OK","CEK")</f>
        <v>OK</v>
      </c>
      <c r="C4" s="16" t="str">
        <f t="shared" si="0"/>
        <v>OK</v>
      </c>
      <c r="D4" s="16" t="s">
        <v>411</v>
      </c>
      <c r="E4" s="16" t="s">
        <v>412</v>
      </c>
      <c r="F4" s="16"/>
    </row>
    <row r="5" spans="1:6" x14ac:dyDescent="0.35">
      <c r="A5" s="8" t="s">
        <v>413</v>
      </c>
      <c r="B5" s="8" t="str">
        <f>IF(ABS(Input_PL_OCI!C21-(Input_PL_OCI!C16+Input_PL_OCI!C20))&lt;1,"OK","CEK")</f>
        <v>OK</v>
      </c>
      <c r="C5" s="16" t="str">
        <f t="shared" si="0"/>
        <v>OK</v>
      </c>
      <c r="D5" s="16" t="s">
        <v>272</v>
      </c>
      <c r="E5" s="16" t="s">
        <v>414</v>
      </c>
      <c r="F5" s="16"/>
    </row>
    <row r="6" spans="1:6" x14ac:dyDescent="0.35">
      <c r="A6" s="8" t="s">
        <v>415</v>
      </c>
      <c r="B6" s="8" t="str">
        <f>IF(ABS(Input_IFRS17_Detail!C9-SUM(Input_IFRS17_Detail!C3:C8))&lt;1,"OK","CEK")</f>
        <v>OK</v>
      </c>
      <c r="C6" s="16" t="str">
        <f t="shared" si="0"/>
        <v>OK</v>
      </c>
      <c r="D6" s="16" t="s">
        <v>282</v>
      </c>
      <c r="E6" s="16" t="s">
        <v>416</v>
      </c>
      <c r="F6" s="16"/>
    </row>
    <row r="7" spans="1:6" x14ac:dyDescent="0.35">
      <c r="A7" s="8" t="s">
        <v>417</v>
      </c>
      <c r="B7" s="8" t="str">
        <f>IF(ABS(Input_IFRS17_Detail!C12-(Input_IFRS17_Detail!C9+SUM(Input_IFRS17_Detail!C10:C11)))&lt;1,"OK","CEK")</f>
        <v>OK</v>
      </c>
      <c r="C7" s="16" t="str">
        <f t="shared" si="0"/>
        <v>OK</v>
      </c>
      <c r="D7" s="16" t="s">
        <v>282</v>
      </c>
      <c r="E7" s="16" t="s">
        <v>418</v>
      </c>
      <c r="F7" s="16"/>
    </row>
    <row r="8" spans="1:6" x14ac:dyDescent="0.35">
      <c r="A8" s="8" t="s">
        <v>419</v>
      </c>
      <c r="B8" s="8" t="e">
        <f>IF(OR(Input_IFRS17_Detail!C24="",Input_IFRS17_Detail!C25="",ABS(Input_IFRS17_Detail!C26-(Input_IFRS17_Detail!C25/Input_IFRS17_Detail!C24))&lt;0.0001),"OK","CEK")</f>
        <v>#VALUE!</v>
      </c>
      <c r="C8" s="16" t="e">
        <f t="shared" si="0"/>
        <v>#VALUE!</v>
      </c>
      <c r="D8" s="16" t="s">
        <v>282</v>
      </c>
      <c r="E8" s="16" t="s">
        <v>420</v>
      </c>
      <c r="F8" s="16"/>
    </row>
    <row r="9" spans="1:6" x14ac:dyDescent="0.35">
      <c r="A9" s="8" t="s">
        <v>421</v>
      </c>
      <c r="B9" s="8" t="e">
        <f>IF(OR(Input_IFRS17_Detail!C28="",Input_IFRS17_Detail!C29="",ABS(Input_IFRS17_Detail!C30-(Input_IFRS17_Detail!C28+Input_IFRS17_Detail!C29))&lt;0.0001),"OK","CEK")</f>
        <v>#VALUE!</v>
      </c>
      <c r="C9" s="16" t="e">
        <f t="shared" si="0"/>
        <v>#VALUE!</v>
      </c>
      <c r="D9" s="16" t="s">
        <v>282</v>
      </c>
      <c r="E9" s="16" t="s">
        <v>422</v>
      </c>
      <c r="F9" s="16"/>
    </row>
    <row r="10" spans="1:6" x14ac:dyDescent="0.35">
      <c r="A10" s="8" t="s">
        <v>423</v>
      </c>
      <c r="B10" s="8" t="str">
        <f>IF(ABS(Input_IFRS9_Detail!C8-SUM(Input_IFRS9_Detail!C4,Input_IFRS9_Detail!C6,Input_IFRS9_Detail!C7))&lt;1,"OK","CEK")</f>
        <v>OK</v>
      </c>
      <c r="C10" s="16" t="str">
        <f t="shared" si="0"/>
        <v>OK</v>
      </c>
      <c r="D10" s="16" t="s">
        <v>298</v>
      </c>
      <c r="E10" s="16" t="s">
        <v>424</v>
      </c>
      <c r="F10" s="16"/>
    </row>
    <row r="11" spans="1:6" x14ac:dyDescent="0.35">
      <c r="A11" s="8" t="s">
        <v>364</v>
      </c>
      <c r="B11" s="8" t="str">
        <f>IF(ABS(Input_IFRS9_Detail!C15-SUM(Input_IFRS9_Detail!C12:'Input_IFRS9_Detail'!C14))&lt;1,"OK","CEK")</f>
        <v>OK</v>
      </c>
      <c r="C11" s="16" t="str">
        <f t="shared" si="0"/>
        <v>OK</v>
      </c>
      <c r="D11" s="16" t="s">
        <v>298</v>
      </c>
      <c r="E11" s="16" t="s">
        <v>425</v>
      </c>
      <c r="F11" s="16"/>
    </row>
    <row r="12" spans="1:6" x14ac:dyDescent="0.35">
      <c r="A12" s="8" t="s">
        <v>426</v>
      </c>
      <c r="B12" s="8" t="str">
        <f>IF(COUNTA(Input_SFP!C3:C34)&gt;=10,"OK","CEK")</f>
        <v>CEK</v>
      </c>
      <c r="C12" s="16" t="str">
        <f t="shared" si="0"/>
        <v>CEK</v>
      </c>
      <c r="D12" s="16" t="s">
        <v>264</v>
      </c>
      <c r="E12" s="16" t="s">
        <v>427</v>
      </c>
      <c r="F12" s="16"/>
    </row>
    <row r="13" spans="1:6" x14ac:dyDescent="0.35">
      <c r="A13" s="8" t="s">
        <v>428</v>
      </c>
      <c r="B13" s="8" t="str">
        <f>IF(COUNTA(Input_PL_OCI!C3:C19)&gt;=6,"OK","CEK")</f>
        <v>CEK</v>
      </c>
      <c r="C13" s="16" t="str">
        <f t="shared" si="0"/>
        <v>CEK</v>
      </c>
      <c r="D13" s="16" t="s">
        <v>272</v>
      </c>
      <c r="E13" s="16" t="s">
        <v>429</v>
      </c>
      <c r="F13" s="16"/>
    </row>
    <row r="14" spans="1:6" x14ac:dyDescent="0.35">
      <c r="A14" t="s">
        <v>430</v>
      </c>
      <c r="B14" t="str">
        <f>IF(COUNTA(Input_IFRS17_Detail!C3:C23)&gt;=10,"OK","CEK")</f>
        <v>CEK</v>
      </c>
      <c r="C14" t="str">
        <f t="shared" si="0"/>
        <v>CEK</v>
      </c>
      <c r="D14" t="s">
        <v>282</v>
      </c>
      <c r="E14" t="s">
        <v>431</v>
      </c>
    </row>
    <row r="15" spans="1:6" x14ac:dyDescent="0.35">
      <c r="A15" t="s">
        <v>432</v>
      </c>
      <c r="B15" t="str">
        <f>IF(COUNTA(Input_IFRS9_Detail!C3:C21)&gt;=8,"OK","CEK")</f>
        <v>CEK</v>
      </c>
      <c r="C15" t="str">
        <f t="shared" si="0"/>
        <v>CEK</v>
      </c>
      <c r="D15" t="s">
        <v>298</v>
      </c>
      <c r="E15" t="s">
        <v>433</v>
      </c>
    </row>
  </sheetData>
  <mergeCells count="1">
    <mergeCell ref="A1:F1"/>
  </mergeCells>
  <conditionalFormatting sqref="B3:B13">
    <cfRule type="cellIs" dxfId="1" priority="1" operator="equal">
      <formula>"OK"</formula>
    </cfRule>
    <cfRule type="cellIs" dxfId="0" priority="2" operator="equal">
      <formula>"CEK"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Setup</vt:lpstr>
      <vt:lpstr>Input_SFP</vt:lpstr>
      <vt:lpstr>Input_PL_OCI</vt:lpstr>
      <vt:lpstr>Input_CF</vt:lpstr>
      <vt:lpstr>Input_IFRS17_Detail</vt:lpstr>
      <vt:lpstr>Input_IFRS9_Detail</vt:lpstr>
      <vt:lpstr>Mapping_Akun</vt:lpstr>
      <vt:lpstr>Rasio</vt:lpstr>
      <vt:lpstr>CommonSize_Trend</vt:lpstr>
      <vt:lpstr>IFRS17_Analysis</vt:lpstr>
      <vt:lpstr>IFRS9_Analysis</vt:lpstr>
      <vt:lpstr>Auto_Analysis</vt:lpstr>
      <vt:lpstr>Dashboard</vt:lpstr>
      <vt:lpstr>Validasi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Vastunadia Yusnasari</cp:lastModifiedBy>
  <dcterms:created xsi:type="dcterms:W3CDTF">2026-04-16T02:46:22Z</dcterms:created>
  <dcterms:modified xsi:type="dcterms:W3CDTF">2026-07-07T02:45:35Z</dcterms:modified>
</cp:coreProperties>
</file>