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worksheets/sheet7.xml" ContentType="application/vnd.openxmlformats-officedocument.spreadsheetml.worksheet+xml"/>
  <Override PartName="/xl/comments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02e941899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5d174725724d52"/>
    <x:sheet xmlns:r="http://schemas.openxmlformats.org/officeDocument/2006/relationships" name="Setup" sheetId="2" r:id="Rb297cc57cb7f443b"/>
    <x:sheet xmlns:r="http://schemas.openxmlformats.org/officeDocument/2006/relationships" name="Input_SFP" sheetId="3" r:id="R51520ddae6fe45c8"/>
    <x:sheet xmlns:r="http://schemas.openxmlformats.org/officeDocument/2006/relationships" name="Input_PL_OCI" sheetId="4" r:id="R40a612ea782a4d24"/>
    <x:sheet xmlns:r="http://schemas.openxmlformats.org/officeDocument/2006/relationships" name="Input_CF" sheetId="5" r:id="R899df3b6e3ca405b"/>
    <x:sheet xmlns:r="http://schemas.openxmlformats.org/officeDocument/2006/relationships" name="Input_IFRS17_Detail" sheetId="6" r:id="Rcbc7f9687eb84aa0"/>
    <x:sheet xmlns:r="http://schemas.openxmlformats.org/officeDocument/2006/relationships" name="Input_IFRS9_Detail" sheetId="7" r:id="R7304f709a2984e41"/>
    <x:sheet xmlns:r="http://schemas.openxmlformats.org/officeDocument/2006/relationships" name="Mapping_Akun" sheetId="8" r:id="R96aa6e17d9d8439f"/>
    <x:sheet xmlns:r="http://schemas.openxmlformats.org/officeDocument/2006/relationships" name="Rasio" sheetId="9" r:id="R8c2ad950b90e49d6"/>
    <x:sheet xmlns:r="http://schemas.openxmlformats.org/officeDocument/2006/relationships" name="CommonSize_Trend" sheetId="10" r:id="R13828038886f4b75"/>
    <x:sheet xmlns:r="http://schemas.openxmlformats.org/officeDocument/2006/relationships" name="IFRS17_Analysis" sheetId="11" r:id="R801bea5b053c4ea2"/>
    <x:sheet xmlns:r="http://schemas.openxmlformats.org/officeDocument/2006/relationships" name="IFRS9_Analysis" sheetId="12" r:id="R6a294698f6ad45bb"/>
    <x:sheet xmlns:r="http://schemas.openxmlformats.org/officeDocument/2006/relationships" name="Auto_Analysis" sheetId="13" r:id="R068092a018de4704"/>
    <x:sheet xmlns:r="http://schemas.openxmlformats.org/officeDocument/2006/relationships" name="Dashboard" sheetId="14" r:id="Rae1882b8bb214886"/>
    <x:sheet xmlns:r="http://schemas.openxmlformats.org/officeDocument/2006/relationships" name="Validasi" sheetId="15" r:id="R96f6612896764119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2" authorId="0">
      <x:text>
        <x:r>
          <x:t>Isi angka tahun berjalan dari audited report. Sel kuning = input user.</x:t>
        </x:r>
      </x:text>
    </x:comment>
    <x:comment ref="D2" authorId="0">
      <x:text>
        <x:r>
          <x:t>Isi angka pembanding 1.</x:t>
        </x:r>
      </x:text>
    </x:comment>
    <x:comment ref="E2" authorId="0">
      <x:text>
        <x:r>
          <x:t>Isi angka pembanding 2 jika tersedia.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2" authorId="0">
      <x:text>
        <x:r>
          <x:t>Isi angka tahun berjalan dari audited report. Sel kuning = input user.</x:t>
        </x:r>
      </x:text>
    </x:comment>
    <x:comment ref="D2" authorId="0">
      <x:text>
        <x:r>
          <x:t>Isi angka pembanding 1.</x:t>
        </x:r>
      </x:text>
    </x:comment>
    <x:comment ref="E2" authorId="0">
      <x:text>
        <x:r>
          <x:t>Isi angka pembanding 2 jika tersedia.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C2" authorId="0">
      <x:text>
        <x:r>
          <x:t>Isi angka tahun berjalan dari audited report. Sel kuning = input user.</x:t>
        </x:r>
      </x:text>
    </x:comment>
    <x:comment ref="D2" authorId="0">
      <x:text>
        <x:r>
          <x:t>Isi angka pembanding 1.</x:t>
        </x:r>
      </x:text>
    </x:comment>
    <x:comment ref="E2" authorId="0">
      <x:text>
        <x:r>
          <x:t>Isi angka pembanding 2 jika tersedia.</x:t>
        </x:r>
      </x:text>
    </x:comment>
  </x:commentList>
</x:comments>
</file>

<file path=xl/comments4.xml><?xml version="1.0" encoding="utf-8"?>
<x:comments xmlns:x="http://schemas.openxmlformats.org/spreadsheetml/2006/main">
  <x:authors>
    <x:author>OpenAI</x:author>
  </x:authors>
  <x:commentList>
    <x:comment ref="C2" authorId="0">
      <x:text>
        <x:r>
          <x:t>Isi angka tahun berjalan dari audited report. Sel kuning = input user.</x:t>
        </x:r>
      </x:text>
    </x:comment>
    <x:comment ref="D2" authorId="0">
      <x:text>
        <x:r>
          <x:t>Isi angka pembanding 1.</x:t>
        </x:r>
      </x:text>
    </x:comment>
    <x:comment ref="E2" authorId="0">
      <x:text>
        <x:r>
          <x:t>Isi angka pembanding 2 jika tersedia.</x:t>
        </x:r>
      </x:text>
    </x:comment>
  </x:commentList>
</x:comments>
</file>

<file path=xl/comments5.xml><?xml version="1.0" encoding="utf-8"?>
<x:comments xmlns:x="http://schemas.openxmlformats.org/spreadsheetml/2006/main">
  <x:authors>
    <x:author>OpenAI</x:author>
  </x:authors>
  <x:commentList>
    <x:comment ref="C2" authorId="0">
      <x:text>
        <x:r>
          <x:t>Isi angka tahun berjalan dari audited report. Sel kuning = input user.</x:t>
        </x:r>
      </x:text>
    </x:comment>
    <x:comment ref="D2" authorId="0">
      <x:text>
        <x:r>
          <x:t>Isi angka pembanding 1.</x:t>
        </x:r>
      </x:text>
    </x:comment>
    <x:comment ref="E2" authorId="0">
      <x:text>
        <x:r>
          <x:t>Isi angka pembanding 2 jika tersedia.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;[Red](0.0%);-"/>
    <x:numFmt numFmtId="165" formatCode="0.00x;[Red](0.00x);-"/>
    <x:numFmt numFmtId="166" formatCode="#,##0_);[Red](#,##0);-"/>
  </x:numFmts>
  <x:fonts count="7">
    <x:font>
      <x:sz val="11"/>
      <x:color theme="1"/>
      <x:name val="Calibri"/>
      <x:family val="2"/>
      <x:scheme val="minor"/>
    </x:font>
    <x:font>
      <x:b/>
      <x:sz val="13"/>
      <x:color rgb="00FFFFFF"/>
    </x:font>
    <x:font>
      <x:b/>
    </x:font>
    <x:font>
      <x:color rgb="000000FF"/>
    </x:font>
    <x:font/>
    <x:font>
      <x:b/>
      <x:color rgb="00FFFFFF"/>
    </x:font>
    <x:font>
      <x:b/>
      <x:sz val="12"/>
    </x:font>
  </x:fonts>
  <x:fills count="7">
    <x:fill>
      <x:patternFill patternType="none"/>
    </x:fill>
    <x:fill>
      <x:patternFill patternType="gray125"/>
    </x:fill>
    <x:fill>
      <x:patternFill patternType="solid">
        <x:fgColor rgb="00163A70"/>
      </x:patternFill>
    </x:fill>
    <x:fill>
      <x:patternFill patternType="solid">
        <x:fgColor rgb="00D9E8FB"/>
      </x:patternFill>
    </x:fill>
    <x:fill>
      <x:patternFill patternType="solid">
        <x:fgColor rgb="00FFF2CC"/>
      </x:patternFill>
    </x:fill>
    <x:fill>
      <x:patternFill patternType="solid">
        <x:fgColor rgb="00F2F2F2"/>
      </x:patternFill>
    </x:fill>
    <x:fill>
      <x:patternFill patternType="solid">
        <x:fgColor rgb="00DDEBF7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center"/>
    </x:xf>
    <x:xf numFmtId="0" fontId="0" fillId="0" borderId="0" xfId="0" applyAlignment="1">
      <x:alignment horizontal="left" vertical="center"/>
    </x:xf>
    <x:xf numFmtId="0" fontId="2" fillId="3" borderId="1" xfId="0" applyAlignment="1">
      <x:alignment horizontal="center" vertical="center"/>
    </x:xf>
    <x:xf numFmtId="0" fontId="3" fillId="4" borderId="0" xfId="0" applyAlignment="1">
      <x:alignment horizontal="left" vertical="center"/>
    </x:xf>
    <x:xf numFmtId="0" fontId="2" fillId="5" borderId="0" xfId="0" applyAlignment="1">
      <x:alignment horizontal="left" vertical="center"/>
    </x:xf>
    <x:xf numFmtId="164" fontId="3" fillId="4" borderId="0" xfId="0" applyAlignment="1">
      <x:alignment horizontal="left" vertical="center"/>
    </x:xf>
    <x:xf numFmtId="165" fontId="3" fillId="4" borderId="0" xfId="0" applyAlignment="1">
      <x:alignment horizontal="left" vertical="center"/>
    </x:xf>
    <x:xf numFmtId="0" fontId="0" fillId="0" borderId="1" xfId="0" applyAlignment="1">
      <x:alignment horizontal="left" vertical="center"/>
    </x:xf>
    <x:xf numFmtId="166" fontId="3" fillId="4" borderId="1" xfId="0" applyAlignment="1">
      <x:alignment horizontal="right" vertical="center"/>
    </x:xf>
    <x:xf numFmtId="164" fontId="0" fillId="0" borderId="1" xfId="0"/>
    <x:xf numFmtId="0" fontId="2" fillId="5" borderId="1" xfId="0" applyAlignment="1">
      <x:alignment horizontal="left" vertical="center"/>
    </x:xf>
    <x:xf numFmtId="0" fontId="4" fillId="5" borderId="1" xfId="0"/>
    <x:xf numFmtId="164" fontId="4" fillId="5" borderId="1" xfId="0"/>
    <x:xf numFmtId="0" fontId="4" fillId="5" borderId="1" xfId="0" applyAlignment="1">
      <x:alignment horizontal="left" vertical="center"/>
    </x:xf>
    <x:xf numFmtId="166" fontId="3" fillId="4" borderId="1" xfId="0"/>
    <x:xf numFmtId="0" fontId="0" fillId="0" borderId="1" xfId="0"/>
    <x:xf numFmtId="164" fontId="3" fillId="4" borderId="1" xfId="0"/>
    <x:xf numFmtId="165" fontId="0" fillId="0" borderId="1" xfId="0"/>
    <x:xf numFmtId="164" fontId="0" fillId="0" borderId="1" xfId="0" applyAlignment="1">
      <x:alignment horizontal="left" vertical="center"/>
    </x:xf>
    <x:xf numFmtId="0" fontId="5" fillId="2" borderId="0" xfId="0" applyAlignment="1">
      <x:alignment horizontal="left" vertical="center"/>
    </x:xf>
    <x:xf numFmtId="166" fontId="6" fillId="6" borderId="0" xfId="0" applyAlignment="1">
      <x:alignment horizontal="left" vertical="center"/>
    </x:xf>
    <x:xf numFmtId="0" fontId="5" fillId="2" borderId="0" xfId="0" applyAlignment="1">
      <x:alignment horizontal="center" vertical="center"/>
    </x:xf>
    <x:xf numFmtId="166" fontId="6" fillId="6" borderId="0" xfId="0" applyAlignment="1">
      <x:alignment horizontal="center" vertical="center"/>
    </x:xf>
    <x:xf numFmtId="164" fontId="6" fillId="6" borderId="0" xfId="0" applyAlignment="1">
      <x:alignment horizontal="left" vertical="center"/>
    </x:xf>
    <x:xf numFmtId="164" fontId="6" fillId="6" borderId="0" xfId="0" applyAlignment="1">
      <x:alignment horizontal="center" vertical="center"/>
    </x:xf>
    <x:xf numFmtId="165" fontId="6" fillId="6" borderId="0" xfId="0" applyAlignment="1">
      <x:alignment horizontal="center" vertical="center"/>
    </x:xf>
    <x:xf numFmtId="0" fontId="5" fillId="2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00C6EFCE"/>
        </x:patternFill>
      </x:fill>
    </x:dxf>
    <x:dxf>
      <x:fill>
        <x:patternFill>
          <x:bgColor rgb="00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ae5041b6a43c7" /><Relationship Type="http://schemas.openxmlformats.org/officeDocument/2006/relationships/theme" Target="/xl/theme/theme1.xml" Id="Ree2815364f544caf" /><Relationship Type="http://schemas.openxmlformats.org/officeDocument/2006/relationships/sharedStrings" Target="/xl/sharedStrings.xml" Id="R300142cc49264d2b" /><Relationship Type="http://schemas.openxmlformats.org/officeDocument/2006/relationships/worksheet" Target="/xl/worksheets/sheet1.xml" Id="Re75d174725724d52" /><Relationship Type="http://schemas.openxmlformats.org/officeDocument/2006/relationships/worksheet" Target="/xl/worksheets/sheet2.xml" Id="Rb297cc57cb7f443b" /><Relationship Type="http://schemas.openxmlformats.org/officeDocument/2006/relationships/worksheet" Target="/xl/worksheets/sheet3.xml" Id="R51520ddae6fe45c8" /><Relationship Type="http://schemas.openxmlformats.org/officeDocument/2006/relationships/worksheet" Target="/xl/worksheets/sheet4.xml" Id="R40a612ea782a4d24" /><Relationship Type="http://schemas.openxmlformats.org/officeDocument/2006/relationships/worksheet" Target="/xl/worksheets/sheet5.xml" Id="R899df3b6e3ca405b" /><Relationship Type="http://schemas.openxmlformats.org/officeDocument/2006/relationships/worksheet" Target="/xl/worksheets/sheet6.xml" Id="Rcbc7f9687eb84aa0" /><Relationship Type="http://schemas.openxmlformats.org/officeDocument/2006/relationships/worksheet" Target="/xl/worksheets/sheet7.xml" Id="R7304f709a2984e41" /><Relationship Type="http://schemas.openxmlformats.org/officeDocument/2006/relationships/worksheet" Target="/xl/worksheets/sheet8.xml" Id="R96aa6e17d9d8439f" /><Relationship Type="http://schemas.openxmlformats.org/officeDocument/2006/relationships/worksheet" Target="/xl/worksheets/sheet9.xml" Id="R8c2ad950b90e49d6" /><Relationship Type="http://schemas.openxmlformats.org/officeDocument/2006/relationships/worksheet" Target="/xl/worksheets/sheet10.xml" Id="R13828038886f4b75" /><Relationship Type="http://schemas.openxmlformats.org/officeDocument/2006/relationships/worksheet" Target="/xl/worksheets/sheet11.xml" Id="R801bea5b053c4ea2" /><Relationship Type="http://schemas.openxmlformats.org/officeDocument/2006/relationships/worksheet" Target="/xl/worksheets/sheet12.xml" Id="R6a294698f6ad45bb" /><Relationship Type="http://schemas.openxmlformats.org/officeDocument/2006/relationships/worksheet" Target="/xl/worksheets/sheet13.xml" Id="R068092a018de4704" /><Relationship Type="http://schemas.openxmlformats.org/officeDocument/2006/relationships/worksheet" Target="/xl/worksheets/sheet14.xml" Id="Rae1882b8bb214886" /><Relationship Type="http://schemas.openxmlformats.org/officeDocument/2006/relationships/worksheet" Target="/xl/worksheets/sheet15.xml" Id="R96f6612896764119" /><Relationship Type="http://schemas.microsoft.com/office/2017/10/relationships/person" Target="/xl/persons/person.xml" Id="Rc0b394b8d14d4230" /></Relationships>
</file>

<file path=xl/persons/person.xml><?xml version="1.0" encoding="utf-8"?>
<xltc:personList xmlns:xltc="http://schemas.microsoft.com/office/spreadsheetml/2018/threadedcomments">
  <xltc:person displayName="OpenAI" id="{FF4725AD-0116-2C04-072B-4DF76BA33BE2}"/>
  <xltc:person displayName="OpenAI" id="{CA76C329-B051-8F6B-0602-65BCEFE80F02}"/>
  <xltc:person displayName="OpenAI" id="{9E3CED3F-2C4A-745E-542C-DA7C84A19FC1}"/>
  <xltc:person displayName="OpenAI" id="{9EF4BAA4-00F5-D11A-FFEE-F0688D4D03BC}"/>
  <xltc:person displayName="OpenAI" id="{98B55BB1-1D41-32B2-7BE0-497F32AF0355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1182d76b58bc48fb" /><Relationship Type="http://schemas.openxmlformats.org/officeDocument/2006/relationships/vmlDrawing" Target="/xl/drawings/vmldrawing.vml" Id="R150c1b07c4d044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5041ce15c7fd4456" /><Relationship Type="http://schemas.openxmlformats.org/officeDocument/2006/relationships/vmlDrawing" Target="/xl/drawings/vmldrawing2.vml" Id="R819273ba1b934d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66261bd93ee545b2" /><Relationship Type="http://schemas.openxmlformats.org/officeDocument/2006/relationships/vmlDrawing" Target="/xl/drawings/vmldrawing3.vml" Id="R7ed7b2f55ae140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4.xml" Id="R7c849d1ee15244f1" /><Relationship Type="http://schemas.openxmlformats.org/officeDocument/2006/relationships/vmlDrawing" Target="/xl/drawings/vmldrawing4.vml" Id="R917948989c0644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5.xml" Id="R452616d2c382417d" /><Relationship Type="http://schemas.openxmlformats.org/officeDocument/2006/relationships/vmlDrawing" Target="/xl/drawings/vmldrawing5.vml" Id="R0642af445bfc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20" customWidth="1"/>
  </x:cols>
  <x:sheetData>
    <x:row r="1">
      <x:c r="A1" s="1" t="inlineStr">
        <x:is>
          <x:t xml:space="preserve">TEMPLATE ANALISIS LK ASURANSI JIWA – IFRS 9 / IFRS 17 (VERSI 2 GENERIK)</x:t>
        </x:is>
      </x:c>
    </x:row>
    <x:row r="2"/>
    <x:row r="3">
      <x:c r="A3" s="2" t="inlineStr">
        <x:is>
          <x:t xml:space="preserve">Tujuan</x:t>
        </x:is>
      </x:c>
      <x:c r="B3" s="3" t="inlineStr">
        <x:is>
          <x:t xml:space="preserve">Template ini dibuat untuk seluruh laporan keuangan audited perusahaan asuransi jiwa yang menyusun laporan berdasarkan IFRS 9 / PSAK 109 dan IFRS 17 / PSAK 117. Template memakai akun-akun terstandarisasi, sehingga pengguna cukup memetakan akun audited report ke baris input yang paling sesuai.</x:t>
        </x:is>
      </x:c>
      <x:c r="H3" s="3" t="n"/>
    </x:row>
    <x:row r="4">
      <x:c r="A4" s="3" t="n"/>
      <x:c r="B4" s="3" t="n"/>
      <x:c r="H4" s="3" t="n"/>
    </x:row>
    <x:row r="5">
      <x:c r="A5" s="2" t="inlineStr">
        <x:is>
          <x:t xml:space="preserve">Cakupan</x:t>
        </x:is>
      </x:c>
      <x:c r="B5" s="3" t="inlineStr">
        <x:is>
          <x:t xml:space="preserve">Mencakup entitas asuransi jiwa konvensional, syariah, atau campuran. Dana peserta/syariah bersifat opsional. Tidak ditujukan untuk asuransi umum, reasuransi murni, bank, atau multifinance.</x:t>
        </x:is>
      </x:c>
      <x:c r="H5" s="3" t="n"/>
    </x:row>
    <x:row r="6">
      <x:c r="A6" s="3" t="n"/>
      <x:c r="B6" s="3" t="n"/>
      <x:c r="H6" s="3" t="n"/>
    </x:row>
    <x:row r="7">
      <x:c r="A7" s="2" t="inlineStr">
        <x:is>
          <x:t xml:space="preserve">Cara pakai ringkas</x:t>
        </x:is>
      </x:c>
      <x:c r="B7" s="3" t="inlineStr">
        <x:is>
          <x:t xml:space="preserve">1) Isi Setup. 2) Isi sel kuning pada Input_SFP, Input_PL_OCI, Input_CF, Input_IFRS17_Detail, dan Input_IFRS9_Detail. 3) Gunakan Mapping_Akun untuk memetakan akun audited report. 4) Review Dashboard, Rasio, CommonSize_Trend, IFRS17_Analysis, IFRS9_Analysis, Auto_Analysis, dan Validasi.</x:t>
        </x:is>
      </x:c>
      <x:c r="H7" s="3" t="n"/>
    </x:row>
    <x:row r="8">
      <x:c r="A8" s="3" t="n"/>
      <x:c r="B8" s="3" t="n"/>
      <x:c r="H8" s="3" t="n"/>
    </x:row>
    <x:row r="9">
      <x:c r="A9" s="2" t="inlineStr">
        <x:is>
          <x:t xml:space="preserve">Prinsip desain</x:t>
        </x:is>
      </x:c>
      <x:c r="B9" s="3" t="inlineStr">
        <x:is>
          <x:t xml:space="preserve">Template menggunakan akun standar lintas perusahaan, bukan nama akun spesifik emiten. Pos yang tidak ada boleh dibiarkan kosong. Baris opsional tersedia untuk variasi penyajian antar perusahaan.</x:t>
        </x:is>
      </x:c>
      <x:c r="H9" s="3" t="n"/>
    </x:row>
    <x:row r="10">
      <x:c r="A10" s="3" t="n"/>
      <x:c r="B10" s="3" t="n"/>
      <x:c r="H10" s="3" t="n"/>
    </x:row>
    <x:row r="11">
      <x:c r="A11" s="2" t="inlineStr">
        <x:is>
          <x:t xml:space="preserve">IFRS 17 – fokus utama</x:t>
        </x:is>
      </x:c>
      <x:c r="B11" s="3" t="inlineStr">
        <x:is>
          <x:t xml:space="preserve">Insurance revenue, insurance service expense, net expense/income from reinsurance contracts held, insurance finance income/expense, insurance contract liabilities, reinsurance assets/liabilities, risk adjustment, dan CSM.</x:t>
        </x:is>
      </x:c>
      <x:c r="H11" s="3" t="n"/>
    </x:row>
    <x:row r="12">
      <x:c r="A12" s="3" t="n"/>
      <x:c r="B12" s="3" t="n"/>
      <x:c r="H12" s="3" t="n"/>
    </x:row>
    <x:row r="13">
      <x:c r="A13" s="2" t="inlineStr">
        <x:is>
          <x:t xml:space="preserve">IFRS 9 – fokus utama</x:t>
        </x:is>
      </x:c>
      <x:c r="B13" s="3" t="inlineStr">
        <x:is>
          <x:t xml:space="preserve">Klasifikasi FVTPL/FVOCI/Amortised Cost, ECL Stage 1–3, coverage, cadangan FVOCI, fair value movement, dan yield investasi.</x:t>
        </x:is>
      </x:c>
      <x:c r="H13" s="3" t="n"/>
    </x:row>
    <x:row r="14">
      <x:c r="A14" s="3" t="n"/>
      <x:c r="B14" s="3" t="n"/>
      <x:c r="H14" s="3" t="n"/>
    </x:row>
    <x:row r="15">
      <x:c r="A15" s="2" t="inlineStr">
        <x:is>
          <x:t xml:space="preserve">Keluaran otomatis</x:t>
        </x:is>
      </x:c>
      <x:c r="B15" s="3" t="inlineStr">
        <x:is>
          <x:t xml:space="preserve">Rasio profitabilitas, leverage, likuiditas, common size, trend 3 tahun, analisis IFRS 17, analisis IFRS 9, validasi konsistensi, executive summary otomatis, dan dashboard ringkas.</x:t>
        </x:is>
      </x:c>
      <x:c r="H15" s="3" t="n"/>
    </x:row>
    <x:row r="16">
      <x:c r="A16" s="3" t="n"/>
      <x:c r="B16" s="3" t="n"/>
      <x:c r="H16" s="3" t="n"/>
    </x:row>
    <x:row r="17">
      <x:c r="A17" s="2" t="inlineStr">
        <x:is>
          <x:t xml:space="preserve">Catatan penting</x:t>
        </x:is>
      </x:c>
      <x:c r="B17" s="3" t="inlineStr">
        <x:is>
          <x:t xml:space="preserve">Template ini adalah alat analisis otomatis. Untuk keputusan profesional, tetap kombinasikan dengan pembacaan catatan atas laporan keuangan, RBC/solvency disclosure regulator, kualitas produk, dan strategi distribusi.</x:t>
        </x:is>
      </x:c>
      <x:c r="H17" s="3" t="n"/>
    </x:row>
    <x:row r="18">
      <x:c r="A18" s="3" t="n"/>
      <x:c r="B18" s="3" t="n"/>
      <x:c r="H18" s="3" t="n"/>
    </x:row>
    <x:row r="19">
      <x:c r="A19" s="2" t="inlineStr">
        <x:is>
          <x:t xml:space="preserve">Definisi 'berlaku untuk seluruh asuransi jiwa'</x:t>
        </x:is>
      </x:c>
      <x:c r="B19" s="3" t="inlineStr">
        <x:is>
          <x:t xml:space="preserve">Artinya format input dan analisis ini dirancang generik untuk hampir seluruh audited report asuransi jiwa yang memakai IFRS 9/17; namun user tetap perlu memetakan akun audited report ke akun template karena detail disclosure tiap perusahaan dapat berbeda.</x:t>
        </x:is>
      </x:c>
      <x:c r="H19" s="3" t="n"/>
    </x:row>
    <x:row r="20">
      <x:c r="A20" s="3" t="n"/>
      <x:c r="B20" s="3" t="n"/>
      <x:c r="H20" s="3" t="n"/>
    </x:row>
    <x:row r="21">
      <x:c r="A21" s="2" t="inlineStr">
        <x:is>
          <x:t xml:space="preserve">Sel yang diisi user</x:t>
        </x:is>
      </x:c>
      <x:c r="B21" s="3" t="inlineStr">
        <x:is>
          <x:t xml:space="preserve">Semua sel kuning adalah input user/hardcode.</x:t>
        </x:is>
      </x:c>
      <x:c r="H21" s="3" t="n"/>
    </x:row>
    <x:row r="22">
      <x:c r="A22" s="3" t="n"/>
      <x:c r="B22" s="3" t="n"/>
      <x:c r="H22" s="3" t="n"/>
    </x:row>
    <x:row r="23">
      <x:c r="A23" s="2" t="inlineStr">
        <x:is>
          <x:t xml:space="preserve">Sel formula</x:t>
        </x:is>
      </x:c>
      <x:c r="B23" s="3" t="inlineStr">
        <x:is>
          <x:t xml:space="preserve">Semua sel putih berisi formula dan tidak perlu diubah.</x:t>
        </x:is>
      </x:c>
      <x:c r="H23" s="3" t="n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42" customWidth="1"/>
  </x:cols>
  <x:sheetData>
    <x:row r="1">
      <x:c r="A1" s="1" t="inlineStr">
        <x:is>
          <x:t xml:space="preserve">SETUP, PARAMETER, DAN BENCHMARK</x:t>
        </x:is>
      </x:c>
    </x:row>
    <x:row r="2">
      <x:c r="A2" s="4" t="inlineStr">
        <x:is>
          <x:t xml:space="preserve">Parameter</x:t>
        </x:is>
      </x:c>
      <x:c r="B2" s="4" t="inlineStr">
        <x:is>
          <x:t xml:space="preserve">Nilai</x:t>
        </x:is>
      </x:c>
    </x:row>
    <x:row r="3">
      <x:c r="A3" s="3" t="inlineStr">
        <x:is>
          <x:t xml:space="preserve">Nama perusahaan</x:t>
        </x:is>
      </x:c>
      <x:c r="B3" s="5" t="inlineStr">
        <x:is>
          <x:t xml:space="preserve">&lt;isi nama perusahaan&gt;</x:t>
        </x:is>
      </x:c>
    </x:row>
    <x:row r="4">
      <x:c r="A4" s="3" t="inlineStr">
        <x:is>
          <x:t xml:space="preserve">Mata uang / unit</x:t>
        </x:is>
      </x:c>
      <x:c r="B4" s="5" t="inlineStr">
        <x:is>
          <x:t xml:space="preserve">IDR (jutaan / miliar sesuai audited report)</x:t>
        </x:is>
      </x:c>
    </x:row>
    <x:row r="5">
      <x:c r="A5" s="3" t="inlineStr">
        <x:is>
          <x:t xml:space="preserve">Tahun berjalan</x:t>
        </x:is>
      </x:c>
      <x:c r="B5" s="5" t="n">
        <x:v>2025</x:v>
      </x:c>
    </x:row>
    <x:row r="6">
      <x:c r="A6" s="3" t="inlineStr">
        <x:is>
          <x:t xml:space="preserve">Tahun pembanding 1</x:t>
        </x:is>
      </x:c>
      <x:c r="B6" s="5" t="n">
        <x:v>2024</x:v>
      </x:c>
    </x:row>
    <x:row r="7">
      <x:c r="A7" s="3" t="inlineStr">
        <x:is>
          <x:t xml:space="preserve">Tahun pembanding 2</x:t>
        </x:is>
      </x:c>
      <x:c r="B7" s="5" t="n">
        <x:v>2023</x:v>
      </x:c>
    </x:row>
    <x:row r="8">
      <x:c r="A8" s="3" t="inlineStr">
        <x:is>
          <x:t xml:space="preserve">Jenis entitas</x:t>
        </x:is>
      </x:c>
      <x:c r="B8" s="5" t="inlineStr">
        <x:is>
          <x:t xml:space="preserve">Konvensional</x:t>
        </x:is>
      </x:c>
    </x:row>
    <x:row r="9">
      <x:c r="A9" s="3" t="inlineStr">
        <x:is>
          <x:t xml:space="preserve">Lini utama</x:t>
        </x:is>
      </x:c>
      <x:c r="B9" s="5" t="inlineStr">
        <x:is>
          <x:t xml:space="preserve">Asuransi jiwa</x:t>
        </x:is>
      </x:c>
    </x:row>
    <x:row r="10">
      <x:c r="A10" s="3" t="inlineStr">
        <x:is>
          <x:t xml:space="preserve">Basis standar</x:t>
        </x:is>
      </x:c>
      <x:c r="B10" s="5" t="inlineStr">
        <x:is>
          <x:t xml:space="preserve">IFRS 9 / PSAK 109 dan IFRS 17 / PSAK 117</x:t>
        </x:is>
      </x:c>
    </x:row>
    <x:row r="11">
      <x:c r="A11" s="3" t="inlineStr">
        <x:is>
          <x:t xml:space="preserve">Catatan user</x:t>
        </x:is>
      </x:c>
      <x:c r="B11" s="5" t="inlineStr">
        <x:is>
          <x:t xml:space="preserve">Ubah hanya sel kuning</x:t>
        </x:is>
      </x:c>
    </x:row>
    <x:row r="12">
      <x:c r="A12" s="3" t="inlineStr">
        <x:is>
          <x:t xml:space="preserve"/>
        </x:is>
      </x:c>
      <x:c r="B12" s="6" t="inlineStr">
        <x:is>
          <x:t xml:space="preserve"/>
        </x:is>
      </x:c>
    </x:row>
    <x:row r="13">
      <x:c r="A13" s="3" t="inlineStr">
        <x:is>
          <x:t xml:space="preserve">LIKUIDITAS minimum</x:t>
        </x:is>
      </x:c>
      <x:c r="B13" s="7" t="n">
        <x:v>0.05</x:v>
      </x:c>
    </x:row>
    <x:row r="14">
      <x:c r="A14" s="3" t="inlineStr">
        <x:is>
          <x:t xml:space="preserve">LEVERAGE max (Liabilities/Equity)</x:t>
        </x:is>
      </x:c>
      <x:c r="B14" s="8" t="n">
        <x:v>4</x:v>
      </x:c>
    </x:row>
    <x:row r="15">
      <x:c r="A15" s="3" t="inlineStr">
        <x:is>
          <x:t xml:space="preserve">ROA minimum</x:t>
        </x:is>
      </x:c>
      <x:c r="B15" s="7" t="n">
        <x:v>0.01</x:v>
      </x:c>
    </x:row>
    <x:row r="16">
      <x:c r="A16" s="3" t="inlineStr">
        <x:is>
          <x:t xml:space="preserve">ROE minimum</x:t>
        </x:is>
      </x:c>
      <x:c r="B16" s="7" t="n">
        <x:v>0.08</x:v>
      </x:c>
    </x:row>
    <x:row r="17">
      <x:c r="A17" s="3" t="inlineStr">
        <x:is>
          <x:t xml:space="preserve">Service result margin minimum</x:t>
        </x:is>
      </x:c>
      <x:c r="B17" s="7" t="n">
        <x:v>0.02</x:v>
      </x:c>
    </x:row>
    <x:row r="18">
      <x:c r="A18" s="3" t="inlineStr">
        <x:is>
          <x:t xml:space="preserve">Net margin minimum</x:t>
        </x:is>
      </x:c>
      <x:c r="B18" s="7" t="n">
        <x:v>0.05</x:v>
      </x:c>
    </x:row>
    <x:row r="19">
      <x:c r="A19" s="3" t="inlineStr">
        <x:is>
          <x:t xml:space="preserve">CSM / Equity minimum</x:t>
        </x:is>
      </x:c>
      <x:c r="B19" s="7" t="n">
        <x:v>0.05</x:v>
      </x:c>
    </x:row>
    <x:row r="20">
      <x:c r="A20" s="3" t="inlineStr">
        <x:is>
          <x:t xml:space="preserve">ECL coverage minimum</x:t>
        </x:is>
      </x:c>
      <x:c r="B20" s="7" t="n">
        <x:v>0.005</x:v>
      </x:c>
    </x:row>
    <x:row r="21">
      <x:c r="A21" s="3" t="inlineStr">
        <x:is>
          <x:t xml:space="preserve">Stage 2+3 exposure max</x:t>
        </x:is>
      </x:c>
      <x:c r="B21" s="7" t="n">
        <x:v>0.15</x:v>
      </x:c>
    </x:row>
    <x:row r="22">
      <x:c r="A22" s="3" t="inlineStr">
        <x:is>
          <x:t xml:space="preserve">OCF / Profit minimum</x:t>
        </x:is>
      </x:c>
      <x:c r="B22" s="7" t="n">
        <x:v>0.8</x:v>
      </x:c>
    </x:row>
  </x:sheetData>
  <x:mergeCells>
    <x:mergeCell ref="A1:F1"/>
  </x:mergeCells>
  <x:dataValidations count="1">
    <x:dataValidation type="list" allowBlank="0" showDropDown="0" showInputMessage="0" showErrorMessage="0" sqref="B8">
      <x:formula1>"Konvensional,Syariah,Campuran"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50" customWidth="1"/>
    <x:col min="3" max="3" width="15" customWidth="1"/>
    <x:col min="4" max="4" width="15" customWidth="1"/>
    <x:col min="5" max="5" width="15" customWidth="1"/>
    <x:col min="6" max="6" width="12" customWidth="1"/>
    <x:col min="7" max="7" width="12" customWidth="1"/>
    <x:col min="8" max="8" width="14" customWidth="1"/>
    <x:col min="9" max="9" width="24" customWidth="1"/>
  </x:cols>
  <x:sheetData>
    <x:row r="1">
      <x:c r="A1" s="1" t="inlineStr">
        <x:is>
          <x:t xml:space="preserve">INPUT STATEMENT OF FINANCIAL POSITION / LAPORAN POSISI KEUANGAN</x:t>
        </x:is>
      </x:c>
    </x:row>
    <x:row r="2">
      <x:c r="A2" s="4" t="inlineStr">
        <x:is>
          <x:t xml:space="preserve">Kelompok</x:t>
        </x:is>
      </x:c>
      <x:c r="B2" s="4" t="inlineStr">
        <x:is>
          <x:t xml:space="preserve">Akun standar IFRS 9 / IFRS 17</x:t>
        </x:is>
      </x:c>
      <x:c r="C2" s="4" t="inlineStr">
        <x:is>
          <x:t xml:space="preserve">Tahun berjalan</x:t>
        </x:is>
      </x:c>
      <x:c r="D2" s="4" t="inlineStr">
        <x:is>
          <x:t xml:space="preserve">Pembanding 1</x:t>
        </x:is>
      </x:c>
      <x:c r="E2" s="4" t="inlineStr">
        <x:is>
          <x:t xml:space="preserve">Pembanding 2</x:t>
        </x:is>
      </x:c>
      <x:c r="F2" s="4" t="inlineStr">
        <x:is>
          <x:t xml:space="preserve">Growth vs PY</x:t>
        </x:is>
      </x:c>
      <x:c r="G2" s="4" t="inlineStr">
        <x:is>
          <x:t xml:space="preserve">Common size CY</x:t>
        </x:is>
      </x:c>
      <x:c r="H2" s="4" t="inlineStr">
        <x:is>
          <x:t xml:space="preserve">Wajib / Opsional</x:t>
        </x:is>
      </x:c>
      <x:c r="I2" s="4" t="inlineStr">
        <x:is>
          <x:t xml:space="preserve">Catatan user</x:t>
        </x:is>
      </x:c>
    </x:row>
    <x:row r="3">
      <x:c r="A3" s="9" t="inlineStr">
        <x:is>
          <x:t xml:space="preserve">ASET</x:t>
        </x:is>
      </x:c>
      <x:c r="B3" s="9" t="inlineStr">
        <x:is>
          <x:t xml:space="preserve">Kas dan setara kas</x:t>
        </x:is>
      </x:c>
      <x:c r="C3" s="10" t="inlineStr">
        <x:is>
          <x:t xml:space="preserve"/>
        </x:is>
      </x:c>
      <x:c r="D3" s="10" t="inlineStr">
        <x:is>
          <x:t xml:space="preserve"/>
        </x:is>
      </x:c>
      <x:c r="E3" s="10" t="inlineStr">
        <x:is>
          <x:t xml:space="preserve"/>
        </x:is>
      </x:c>
      <x:c r="F3" s="11">
        <x:f>IFERROR((C3/D3)-1,"")</x:f>
      </x:c>
      <x:c r="G3" s="11">
        <x:f>IFERROR(C3/$C$18,"")</x:f>
      </x:c>
      <x:c r="H3" s="9" t="inlineStr">
        <x:is>
          <x:t xml:space="preserve">Penting</x:t>
        </x:is>
      </x:c>
      <x:c r="I3" s="9" t="n"/>
    </x:row>
    <x:row r="4">
      <x:c r="A4" s="9" t="inlineStr">
        <x:is>
          <x:t xml:space="preserve">ASET</x:t>
        </x:is>
      </x:c>
      <x:c r="B4" s="9" t="inlineStr">
        <x:is>
          <x:t xml:space="preserve">Penempatan jangka pendek / pasar uang</x:t>
        </x:is>
      </x:c>
      <x:c r="C4" s="10" t="inlineStr">
        <x:is>
          <x:t xml:space="preserve"/>
        </x:is>
      </x:c>
      <x:c r="D4" s="10" t="inlineStr">
        <x:is>
          <x:t xml:space="preserve"/>
        </x:is>
      </x:c>
      <x:c r="E4" s="10" t="inlineStr">
        <x:is>
          <x:t xml:space="preserve"/>
        </x:is>
      </x:c>
      <x:c r="F4" s="11">
        <x:f>IFERROR((C4/D4)-1,"")</x:f>
      </x:c>
      <x:c r="G4" s="11">
        <x:f>IFERROR(C4/$C$18,"")</x:f>
      </x:c>
      <x:c r="H4" s="9" t="inlineStr">
        <x:is>
          <x:t xml:space="preserve">Opsional</x:t>
        </x:is>
      </x:c>
      <x:c r="I4" s="9" t="n"/>
    </x:row>
    <x:row r="5">
      <x:c r="A5" s="9" t="inlineStr">
        <x:is>
          <x:t xml:space="preserve">ASET</x:t>
        </x:is>
      </x:c>
      <x:c r="B5" s="9" t="inlineStr">
        <x:is>
          <x:t xml:space="preserve">Investasi pada FVTPL</x:t>
        </x:is>
      </x:c>
      <x:c r="C5" s="10" t="inlineStr">
        <x:is>
          <x:t xml:space="preserve"/>
        </x:is>
      </x:c>
      <x:c r="D5" s="10" t="inlineStr">
        <x:is>
          <x:t xml:space="preserve"/>
        </x:is>
      </x:c>
      <x:c r="E5" s="10" t="inlineStr">
        <x:is>
          <x:t xml:space="preserve"/>
        </x:is>
      </x:c>
      <x:c r="F5" s="11">
        <x:f>IFERROR((C5/D5)-1,"")</x:f>
      </x:c>
      <x:c r="G5" s="11">
        <x:f>IFERROR(C5/$C$18,"")</x:f>
      </x:c>
      <x:c r="H5" s="9" t="inlineStr">
        <x:is>
          <x:t xml:space="preserve">Penting</x:t>
        </x:is>
      </x:c>
      <x:c r="I5" s="9" t="n"/>
    </x:row>
    <x:row r="6">
      <x:c r="A6" s="9" t="inlineStr">
        <x:is>
          <x:t xml:space="preserve">ASET</x:t>
        </x:is>
      </x:c>
      <x:c r="B6" s="9" t="inlineStr">
        <x:is>
          <x:t xml:space="preserve">Investasi utang pada FVOCI</x:t>
        </x:is>
      </x:c>
      <x:c r="C6" s="10" t="inlineStr">
        <x:is>
          <x:t xml:space="preserve"/>
        </x:is>
      </x:c>
      <x:c r="D6" s="10" t="inlineStr">
        <x:is>
          <x:t xml:space="preserve"/>
        </x:is>
      </x:c>
      <x:c r="E6" s="10" t="inlineStr">
        <x:is>
          <x:t xml:space="preserve"/>
        </x:is>
      </x:c>
      <x:c r="F6" s="11">
        <x:f>IFERROR((C6/D6)-1,"")</x:f>
      </x:c>
      <x:c r="G6" s="11">
        <x:f>IFERROR(C6/$C$18,"")</x:f>
      </x:c>
      <x:c r="H6" s="9" t="inlineStr">
        <x:is>
          <x:t xml:space="preserve">Penting</x:t>
        </x:is>
      </x:c>
      <x:c r="I6" s="9" t="n"/>
    </x:row>
    <x:row r="7">
      <x:c r="A7" s="9" t="inlineStr">
        <x:is>
          <x:t xml:space="preserve">ASET</x:t>
        </x:is>
      </x:c>
      <x:c r="B7" s="9" t="inlineStr">
        <x:is>
          <x:t xml:space="preserve">Investasi ekuitas pada FVOCI</x:t>
        </x:is>
      </x:c>
      <x:c r="C7" s="10" t="inlineStr">
        <x:is>
          <x:t xml:space="preserve"/>
        </x:is>
      </x:c>
      <x:c r="D7" s="10" t="inlineStr">
        <x:is>
          <x:t xml:space="preserve"/>
        </x:is>
      </x:c>
      <x:c r="E7" s="10" t="inlineStr">
        <x:is>
          <x:t xml:space="preserve"/>
        </x:is>
      </x:c>
      <x:c r="F7" s="11">
        <x:f>IFERROR((C7/D7)-1,"")</x:f>
      </x:c>
      <x:c r="G7" s="11">
        <x:f>IFERROR(C7/$C$18,"")</x:f>
      </x:c>
      <x:c r="H7" s="9" t="inlineStr">
        <x:is>
          <x:t xml:space="preserve">Opsional</x:t>
        </x:is>
      </x:c>
      <x:c r="I7" s="9" t="n"/>
    </x:row>
    <x:row r="8">
      <x:c r="A8" s="9" t="inlineStr">
        <x:is>
          <x:t xml:space="preserve">ASET</x:t>
        </x:is>
      </x:c>
      <x:c r="B8" s="9" t="inlineStr">
        <x:is>
          <x:t xml:space="preserve">Investasi pada biaya perolehan diamortisasi</x:t>
        </x:is>
      </x:c>
      <x:c r="C8" s="10" t="inlineStr">
        <x:is>
          <x:t xml:space="preserve"/>
        </x:is>
      </x:c>
      <x:c r="D8" s="10" t="inlineStr">
        <x:is>
          <x:t xml:space="preserve"/>
        </x:is>
      </x:c>
      <x:c r="E8" s="10" t="inlineStr">
        <x:is>
          <x:t xml:space="preserve"/>
        </x:is>
      </x:c>
      <x:c r="F8" s="11">
        <x:f>IFERROR((C8/D8)-1,"")</x:f>
      </x:c>
      <x:c r="G8" s="11">
        <x:f>IFERROR(C8/$C$18,"")</x:f>
      </x:c>
      <x:c r="H8" s="9" t="inlineStr">
        <x:is>
          <x:t xml:space="preserve">Penting</x:t>
        </x:is>
      </x:c>
      <x:c r="I8" s="9" t="n"/>
    </x:row>
    <x:row r="9">
      <x:c r="A9" s="9" t="inlineStr">
        <x:is>
          <x:t xml:space="preserve">ASET</x:t>
        </x:is>
      </x:c>
      <x:c r="B9" s="9" t="inlineStr">
        <x:is>
          <x:t xml:space="preserve">Properti investasi</x:t>
        </x:is>
      </x:c>
      <x:c r="C9" s="10" t="inlineStr">
        <x:is>
          <x:t xml:space="preserve"/>
        </x:is>
      </x:c>
      <x:c r="D9" s="10" t="inlineStr">
        <x:is>
          <x:t xml:space="preserve"/>
        </x:is>
      </x:c>
      <x:c r="E9" s="10" t="inlineStr">
        <x:is>
          <x:t xml:space="preserve"/>
        </x:is>
      </x:c>
      <x:c r="F9" s="11">
        <x:f>IFERROR((C9/D9)-1,"")</x:f>
      </x:c>
      <x:c r="G9" s="11">
        <x:f>IFERROR(C9/$C$18,"")</x:f>
      </x:c>
      <x:c r="H9" s="9" t="inlineStr">
        <x:is>
          <x:t xml:space="preserve">Opsional</x:t>
        </x:is>
      </x:c>
      <x:c r="I9" s="9" t="n"/>
    </x:row>
    <x:row r="10">
      <x:c r="A10" s="9" t="inlineStr">
        <x:is>
          <x:t xml:space="preserve">ASET</x:t>
        </x:is>
      </x:c>
      <x:c r="B10" s="9" t="inlineStr">
        <x:is>
          <x:t xml:space="preserve">Pinjaman polis / piutang pembiayaan / loans</x:t>
        </x:is>
      </x:c>
      <x:c r="C10" s="10" t="inlineStr">
        <x:is>
          <x:t xml:space="preserve"/>
        </x:is>
      </x:c>
      <x:c r="D10" s="10" t="inlineStr">
        <x:is>
          <x:t xml:space="preserve"/>
        </x:is>
      </x:c>
      <x:c r="E10" s="10" t="inlineStr">
        <x:is>
          <x:t xml:space="preserve"/>
        </x:is>
      </x:c>
      <x:c r="F10" s="11">
        <x:f>IFERROR((C10/D10)-1,"")</x:f>
      </x:c>
      <x:c r="G10" s="11">
        <x:f>IFERROR(C10/$C$18,"")</x:f>
      </x:c>
      <x:c r="H10" s="9" t="inlineStr">
        <x:is>
          <x:t xml:space="preserve">Opsional</x:t>
        </x:is>
      </x:c>
      <x:c r="I10" s="9" t="n"/>
    </x:row>
    <x:row r="11">
      <x:c r="A11" s="9" t="inlineStr">
        <x:is>
          <x:t xml:space="preserve">ASET</x:t>
        </x:is>
      </x:c>
      <x:c r="B11" s="9" t="inlineStr">
        <x:is>
          <x:t xml:space="preserve">Piutang premi dan piutang lain-lain</x:t>
        </x:is>
      </x:c>
      <x:c r="C11" s="10" t="inlineStr">
        <x:is>
          <x:t xml:space="preserve"/>
        </x:is>
      </x:c>
      <x:c r="D11" s="10" t="inlineStr">
        <x:is>
          <x:t xml:space="preserve"/>
        </x:is>
      </x:c>
      <x:c r="E11" s="10" t="inlineStr">
        <x:is>
          <x:t xml:space="preserve"/>
        </x:is>
      </x:c>
      <x:c r="F11" s="11">
        <x:f>IFERROR((C11/D11)-1,"")</x:f>
      </x:c>
      <x:c r="G11" s="11">
        <x:f>IFERROR(C11/$C$18,"")</x:f>
      </x:c>
      <x:c r="H11" s="9" t="inlineStr">
        <x:is>
          <x:t xml:space="preserve">Penting</x:t>
        </x:is>
      </x:c>
      <x:c r="I11" s="9" t="n"/>
    </x:row>
    <x:row r="12">
      <x:c r="A12" s="9" t="inlineStr">
        <x:is>
          <x:t xml:space="preserve">ASET</x:t>
        </x:is>
      </x:c>
      <x:c r="B12" s="9" t="inlineStr">
        <x:is>
          <x:t xml:space="preserve">Aset kontrak reasuransi</x:t>
        </x:is>
      </x:c>
      <x:c r="C12" s="10" t="inlineStr">
        <x:is>
          <x:t xml:space="preserve"/>
        </x:is>
      </x:c>
      <x:c r="D12" s="10" t="inlineStr">
        <x:is>
          <x:t xml:space="preserve"/>
        </x:is>
      </x:c>
      <x:c r="E12" s="10" t="inlineStr">
        <x:is>
          <x:t xml:space="preserve"/>
        </x:is>
      </x:c>
      <x:c r="F12" s="11">
        <x:f>IFERROR((C12/D12)-1,"")</x:f>
      </x:c>
      <x:c r="G12" s="11">
        <x:f>IFERROR(C12/$C$18,"")</x:f>
      </x:c>
      <x:c r="H12" s="9" t="inlineStr">
        <x:is>
          <x:t xml:space="preserve">Penting</x:t>
        </x:is>
      </x:c>
      <x:c r="I12" s="9" t="n"/>
    </x:row>
    <x:row r="13">
      <x:c r="A13" s="9" t="inlineStr">
        <x:is>
          <x:t xml:space="preserve">ASET</x:t>
        </x:is>
      </x:c>
      <x:c r="B13" s="9" t="inlineStr">
        <x:is>
          <x:t xml:space="preserve">Aset akuisisi asuransi / acquisition cash flow asset</x:t>
        </x:is>
      </x:c>
      <x:c r="C13" s="10" t="inlineStr">
        <x:is>
          <x:t xml:space="preserve"/>
        </x:is>
      </x:c>
      <x:c r="D13" s="10" t="inlineStr">
        <x:is>
          <x:t xml:space="preserve"/>
        </x:is>
      </x:c>
      <x:c r="E13" s="10" t="inlineStr">
        <x:is>
          <x:t xml:space="preserve"/>
        </x:is>
      </x:c>
      <x:c r="F13" s="11">
        <x:f>IFERROR((C13/D13)-1,"")</x:f>
      </x:c>
      <x:c r="G13" s="11">
        <x:f>IFERROR(C13/$C$18,"")</x:f>
      </x:c>
      <x:c r="H13" s="9" t="inlineStr">
        <x:is>
          <x:t xml:space="preserve">Opsional</x:t>
        </x:is>
      </x:c>
      <x:c r="I13" s="9" t="n"/>
    </x:row>
    <x:row r="14">
      <x:c r="A14" s="9" t="inlineStr">
        <x:is>
          <x:t xml:space="preserve">ASET</x:t>
        </x:is>
      </x:c>
      <x:c r="B14" s="9" t="inlineStr">
        <x:is>
          <x:t xml:space="preserve">Aset tetap, ROU, dan properti yang digunakan sendiri</x:t>
        </x:is>
      </x:c>
      <x:c r="C14" s="10" t="inlineStr">
        <x:is>
          <x:t xml:space="preserve"/>
        </x:is>
      </x:c>
      <x:c r="D14" s="10" t="inlineStr">
        <x:is>
          <x:t xml:space="preserve"/>
        </x:is>
      </x:c>
      <x:c r="E14" s="10" t="inlineStr">
        <x:is>
          <x:t xml:space="preserve"/>
        </x:is>
      </x:c>
      <x:c r="F14" s="11">
        <x:f>IFERROR((C14/D14)-1,"")</x:f>
      </x:c>
      <x:c r="G14" s="11">
        <x:f>IFERROR(C14/$C$18,"")</x:f>
      </x:c>
      <x:c r="H14" s="9" t="inlineStr">
        <x:is>
          <x:t xml:space="preserve">Opsional</x:t>
        </x:is>
      </x:c>
      <x:c r="I14" s="9" t="n"/>
    </x:row>
    <x:row r="15">
      <x:c r="A15" s="9" t="inlineStr">
        <x:is>
          <x:t xml:space="preserve">ASET</x:t>
        </x:is>
      </x:c>
      <x:c r="B15" s="9" t="inlineStr">
        <x:is>
          <x:t xml:space="preserve">Aset takberwujud</x:t>
        </x:is>
      </x:c>
      <x:c r="C15" s="10" t="inlineStr">
        <x:is>
          <x:t xml:space="preserve"/>
        </x:is>
      </x:c>
      <x:c r="D15" s="10" t="inlineStr">
        <x:is>
          <x:t xml:space="preserve"/>
        </x:is>
      </x:c>
      <x:c r="E15" s="10" t="inlineStr">
        <x:is>
          <x:t xml:space="preserve"/>
        </x:is>
      </x:c>
      <x:c r="F15" s="11">
        <x:f>IFERROR((C15/D15)-1,"")</x:f>
      </x:c>
      <x:c r="G15" s="11">
        <x:f>IFERROR(C15/$C$18,"")</x:f>
      </x:c>
      <x:c r="H15" s="9" t="inlineStr">
        <x:is>
          <x:t xml:space="preserve">Opsional</x:t>
        </x:is>
      </x:c>
      <x:c r="I15" s="9" t="n"/>
    </x:row>
    <x:row r="16">
      <x:c r="A16" s="9" t="inlineStr">
        <x:is>
          <x:t xml:space="preserve">ASET</x:t>
        </x:is>
      </x:c>
      <x:c r="B16" s="9" t="inlineStr">
        <x:is>
          <x:t xml:space="preserve">Aset pajak kini/deferred tax asset</x:t>
        </x:is>
      </x:c>
      <x:c r="C16" s="10" t="inlineStr">
        <x:is>
          <x:t xml:space="preserve"/>
        </x:is>
      </x:c>
      <x:c r="D16" s="10" t="inlineStr">
        <x:is>
          <x:t xml:space="preserve"/>
        </x:is>
      </x:c>
      <x:c r="E16" s="10" t="inlineStr">
        <x:is>
          <x:t xml:space="preserve"/>
        </x:is>
      </x:c>
      <x:c r="F16" s="11">
        <x:f>IFERROR((C16/D16)-1,"")</x:f>
      </x:c>
      <x:c r="G16" s="11">
        <x:f>IFERROR(C16/$C$18,"")</x:f>
      </x:c>
      <x:c r="H16" s="9" t="inlineStr">
        <x:is>
          <x:t xml:space="preserve">Opsional</x:t>
        </x:is>
      </x:c>
      <x:c r="I16" s="9" t="n"/>
    </x:row>
    <x:row r="17">
      <x:c r="A17" s="9" t="inlineStr">
        <x:is>
          <x:t xml:space="preserve">ASET</x:t>
        </x:is>
      </x:c>
      <x:c r="B17" s="9" t="inlineStr">
        <x:is>
          <x:t xml:space="preserve">Aset lain-lain</x:t>
        </x:is>
      </x:c>
      <x:c r="C17" s="10" t="inlineStr">
        <x:is>
          <x:t xml:space="preserve"/>
        </x:is>
      </x:c>
      <x:c r="D17" s="10" t="inlineStr">
        <x:is>
          <x:t xml:space="preserve"/>
        </x:is>
      </x:c>
      <x:c r="E17" s="10" t="inlineStr">
        <x:is>
          <x:t xml:space="preserve"/>
        </x:is>
      </x:c>
      <x:c r="F17" s="11">
        <x:f>IFERROR((C17/D17)-1,"")</x:f>
      </x:c>
      <x:c r="G17" s="11">
        <x:f>IFERROR(C17/$C$18,"")</x:f>
      </x:c>
      <x:c r="H17" s="9" t="inlineStr">
        <x:is>
          <x:t xml:space="preserve">Opsional</x:t>
        </x:is>
      </x:c>
      <x:c r="I17" s="9" t="n"/>
    </x:row>
    <x:row r="18">
      <x:c r="A18" s="12" t="inlineStr">
        <x:is>
          <x:t xml:space="preserve">ASET</x:t>
        </x:is>
      </x:c>
      <x:c r="B18" s="12" t="inlineStr">
        <x:is>
          <x:t xml:space="preserve">TOTAL ASET</x:t>
        </x:is>
      </x:c>
      <x:c r="C18" s="13">
        <x:f>SUM(C3:C17)</x:f>
        <x:v>0</x:v>
      </x:c>
      <x:c r="D18" s="13">
        <x:f>SUM(D3:D17)</x:f>
        <x:v>0</x:v>
      </x:c>
      <x:c r="E18" s="13">
        <x:f>SUM(E3:E17)</x:f>
        <x:v>0</x:v>
      </x:c>
      <x:c r="F18" s="14">
        <x:f>IFERROR((C18/D18)-1,"")</x:f>
      </x:c>
      <x:c r="G18" s="14">
        <x:f>IFERROR(C18/$C$18,"")</x:f>
      </x:c>
      <x:c r="H18" s="15" t="inlineStr">
        <x:is>
          <x:t xml:space="preserve">Formula</x:t>
        </x:is>
      </x:c>
      <x:c r="I18" s="15" t="n"/>
    </x:row>
    <x:row r="19">
      <x:c r="A19" s="9" t="inlineStr">
        <x:is>
          <x:t xml:space="preserve">LIABILITAS</x:t>
        </x:is>
      </x:c>
      <x:c r="B19" s="9" t="inlineStr">
        <x:is>
          <x:t xml:space="preserve">Liabilitas kontrak asuransi</x:t>
        </x:is>
      </x:c>
      <x:c r="C19" s="10" t="inlineStr">
        <x:is>
          <x:t xml:space="preserve"/>
        </x:is>
      </x:c>
      <x:c r="D19" s="10" t="inlineStr">
        <x:is>
          <x:t xml:space="preserve"/>
        </x:is>
      </x:c>
      <x:c r="E19" s="10" t="inlineStr">
        <x:is>
          <x:t xml:space="preserve"/>
        </x:is>
      </x:c>
      <x:c r="F19" s="11">
        <x:f>IFERROR((C19/D19)-1,"")</x:f>
      </x:c>
      <x:c r="G19" s="11">
        <x:f>IFERROR(C19/$C$18,"")</x:f>
      </x:c>
      <x:c r="H19" s="9" t="inlineStr">
        <x:is>
          <x:t xml:space="preserve">Penting</x:t>
        </x:is>
      </x:c>
      <x:c r="I19" s="9" t="n"/>
    </x:row>
    <x:row r="20">
      <x:c r="A20" s="9" t="inlineStr">
        <x:is>
          <x:t xml:space="preserve">LIABILITAS</x:t>
        </x:is>
      </x:c>
      <x:c r="B20" s="9" t="inlineStr">
        <x:is>
          <x:t xml:space="preserve">Liabilitas kontrak reasuransi</x:t>
        </x:is>
      </x:c>
      <x:c r="C20" s="10" t="inlineStr">
        <x:is>
          <x:t xml:space="preserve"/>
        </x:is>
      </x:c>
      <x:c r="D20" s="10" t="inlineStr">
        <x:is>
          <x:t xml:space="preserve"/>
        </x:is>
      </x:c>
      <x:c r="E20" s="10" t="inlineStr">
        <x:is>
          <x:t xml:space="preserve"/>
        </x:is>
      </x:c>
      <x:c r="F20" s="11">
        <x:f>IFERROR((C20/D20)-1,"")</x:f>
      </x:c>
      <x:c r="G20" s="11">
        <x:f>IFERROR(C20/$C$18,"")</x:f>
      </x:c>
      <x:c r="H20" s="9" t="inlineStr">
        <x:is>
          <x:t xml:space="preserve">Opsional</x:t>
        </x:is>
      </x:c>
      <x:c r="I20" s="9" t="n"/>
    </x:row>
    <x:row r="21">
      <x:c r="A21" s="9" t="inlineStr">
        <x:is>
          <x:t xml:space="preserve">LIABILITAS</x:t>
        </x:is>
      </x:c>
      <x:c r="B21" s="9" t="inlineStr">
        <x:is>
          <x:t xml:space="preserve">Liabilitas kontrak investasi</x:t>
        </x:is>
      </x:c>
      <x:c r="C21" s="10" t="inlineStr">
        <x:is>
          <x:t xml:space="preserve"/>
        </x:is>
      </x:c>
      <x:c r="D21" s="10" t="inlineStr">
        <x:is>
          <x:t xml:space="preserve"/>
        </x:is>
      </x:c>
      <x:c r="E21" s="10" t="inlineStr">
        <x:is>
          <x:t xml:space="preserve"/>
        </x:is>
      </x:c>
      <x:c r="F21" s="11">
        <x:f>IFERROR((C21/D21)-1,"")</x:f>
      </x:c>
      <x:c r="G21" s="11">
        <x:f>IFERROR(C21/$C$18,"")</x:f>
      </x:c>
      <x:c r="H21" s="9" t="inlineStr">
        <x:is>
          <x:t xml:space="preserve">Opsional</x:t>
        </x:is>
      </x:c>
      <x:c r="I21" s="9" t="n"/>
    </x:row>
    <x:row r="22">
      <x:c r="A22" s="9" t="inlineStr">
        <x:is>
          <x:t xml:space="preserve">LIABILITAS</x:t>
        </x:is>
      </x:c>
      <x:c r="B22" s="9" t="inlineStr">
        <x:is>
          <x:t xml:space="preserve">Utang klaim, utang reasuransi, dan utang komisi</x:t>
        </x:is>
      </x:c>
      <x:c r="C22" s="10" t="inlineStr">
        <x:is>
          <x:t xml:space="preserve"/>
        </x:is>
      </x:c>
      <x:c r="D22" s="10" t="inlineStr">
        <x:is>
          <x:t xml:space="preserve"/>
        </x:is>
      </x:c>
      <x:c r="E22" s="10" t="inlineStr">
        <x:is>
          <x:t xml:space="preserve"/>
        </x:is>
      </x:c>
      <x:c r="F22" s="11">
        <x:f>IFERROR((C22/D22)-1,"")</x:f>
      </x:c>
      <x:c r="G22" s="11">
        <x:f>IFERROR(C22/$C$18,"")</x:f>
      </x:c>
      <x:c r="H22" s="9" t="inlineStr">
        <x:is>
          <x:t xml:space="preserve">Penting</x:t>
        </x:is>
      </x:c>
      <x:c r="I22" s="9" t="n"/>
    </x:row>
    <x:row r="23">
      <x:c r="A23" s="9" t="inlineStr">
        <x:is>
          <x:t xml:space="preserve">LIABILITAS</x:t>
        </x:is>
      </x:c>
      <x:c r="B23" s="9" t="inlineStr">
        <x:is>
          <x:t xml:space="preserve">Utang pajak kini/deferred tax liability</x:t>
        </x:is>
      </x:c>
      <x:c r="C23" s="10" t="inlineStr">
        <x:is>
          <x:t xml:space="preserve"/>
        </x:is>
      </x:c>
      <x:c r="D23" s="10" t="inlineStr">
        <x:is>
          <x:t xml:space="preserve"/>
        </x:is>
      </x:c>
      <x:c r="E23" s="10" t="inlineStr">
        <x:is>
          <x:t xml:space="preserve"/>
        </x:is>
      </x:c>
      <x:c r="F23" s="11">
        <x:f>IFERROR((C23/D23)-1,"")</x:f>
      </x:c>
      <x:c r="G23" s="11">
        <x:f>IFERROR(C23/$C$18,"")</x:f>
      </x:c>
      <x:c r="H23" s="9" t="inlineStr">
        <x:is>
          <x:t xml:space="preserve">Opsional</x:t>
        </x:is>
      </x:c>
      <x:c r="I23" s="9" t="n"/>
    </x:row>
    <x:row r="24">
      <x:c r="A24" s="9" t="inlineStr">
        <x:is>
          <x:t xml:space="preserve">LIABILITAS</x:t>
        </x:is>
      </x:c>
      <x:c r="B24" s="9" t="inlineStr">
        <x:is>
          <x:t xml:space="preserve">Liabilitas sewa dan pinjaman</x:t>
        </x:is>
      </x:c>
      <x:c r="C24" s="10" t="inlineStr">
        <x:is>
          <x:t xml:space="preserve"/>
        </x:is>
      </x:c>
      <x:c r="D24" s="10" t="inlineStr">
        <x:is>
          <x:t xml:space="preserve"/>
        </x:is>
      </x:c>
      <x:c r="E24" s="10" t="inlineStr">
        <x:is>
          <x:t xml:space="preserve"/>
        </x:is>
      </x:c>
      <x:c r="F24" s="11">
        <x:f>IFERROR((C24/D24)-1,"")</x:f>
      </x:c>
      <x:c r="G24" s="11">
        <x:f>IFERROR(C24/$C$18,"")</x:f>
      </x:c>
      <x:c r="H24" s="9" t="inlineStr">
        <x:is>
          <x:t xml:space="preserve">Opsional</x:t>
        </x:is>
      </x:c>
      <x:c r="I24" s="9" t="n"/>
    </x:row>
    <x:row r="25">
      <x:c r="A25" s="9" t="inlineStr">
        <x:is>
          <x:t xml:space="preserve">LIABILITAS</x:t>
        </x:is>
      </x:c>
      <x:c r="B25" s="9" t="inlineStr">
        <x:is>
          <x:t xml:space="preserve">Liabilitas lain-lain</x:t>
        </x:is>
      </x:c>
      <x:c r="C25" s="10" t="inlineStr">
        <x:is>
          <x:t xml:space="preserve"/>
        </x:is>
      </x:c>
      <x:c r="D25" s="10" t="inlineStr">
        <x:is>
          <x:t xml:space="preserve"/>
        </x:is>
      </x:c>
      <x:c r="E25" s="10" t="inlineStr">
        <x:is>
          <x:t xml:space="preserve"/>
        </x:is>
      </x:c>
      <x:c r="F25" s="11">
        <x:f>IFERROR((C25/D25)-1,"")</x:f>
      </x:c>
      <x:c r="G25" s="11">
        <x:f>IFERROR(C25/$C$18,"")</x:f>
      </x:c>
      <x:c r="H25" s="9" t="inlineStr">
        <x:is>
          <x:t xml:space="preserve">Opsional</x:t>
        </x:is>
      </x:c>
      <x:c r="I25" s="9" t="n"/>
    </x:row>
    <x:row r="26">
      <x:c r="A26" s="12" t="inlineStr">
        <x:is>
          <x:t xml:space="preserve">LIABILITAS</x:t>
        </x:is>
      </x:c>
      <x:c r="B26" s="12" t="inlineStr">
        <x:is>
          <x:t xml:space="preserve">TOTAL LIABILITAS</x:t>
        </x:is>
      </x:c>
      <x:c r="C26" s="13">
        <x:f>SUM(C19:C25)</x:f>
        <x:v>0</x:v>
      </x:c>
      <x:c r="D26" s="13">
        <x:f>SUM(D19:D25)</x:f>
        <x:v>0</x:v>
      </x:c>
      <x:c r="E26" s="13">
        <x:f>SUM(E19:E25)</x:f>
        <x:v>0</x:v>
      </x:c>
      <x:c r="F26" s="14">
        <x:f>IFERROR((C26/D26)-1,"")</x:f>
      </x:c>
      <x:c r="G26" s="14">
        <x:f>IFERROR(C26/$C$18,"")</x:f>
      </x:c>
      <x:c r="H26" s="15" t="inlineStr">
        <x:is>
          <x:t xml:space="preserve">Formula</x:t>
        </x:is>
      </x:c>
      <x:c r="I26" s="15" t="n"/>
    </x:row>
    <x:row r="27">
      <x:c r="A27" s="9" t="inlineStr">
        <x:is>
          <x:t xml:space="preserve">DANA PESERTA</x:t>
        </x:is>
      </x:c>
      <x:c r="B27" s="9" t="inlineStr">
        <x:is>
          <x:t xml:space="preserve">Dana peserta / liabilities to policyholders fund</x:t>
        </x:is>
      </x:c>
      <x:c r="C27" s="10" t="inlineStr">
        <x:is>
          <x:t xml:space="preserve"/>
        </x:is>
      </x:c>
      <x:c r="D27" s="10" t="inlineStr">
        <x:is>
          <x:t xml:space="preserve"/>
        </x:is>
      </x:c>
      <x:c r="E27" s="10" t="inlineStr">
        <x:is>
          <x:t xml:space="preserve"/>
        </x:is>
      </x:c>
      <x:c r="F27" s="11">
        <x:f>IFERROR((C27/D27)-1,"")</x:f>
      </x:c>
      <x:c r="G27" s="11">
        <x:f>IFERROR(C27/$C$18,"")</x:f>
      </x:c>
      <x:c r="H27" s="9" t="inlineStr">
        <x:is>
          <x:t xml:space="preserve">Opsional</x:t>
        </x:is>
      </x:c>
      <x:c r="I27" s="9" t="n"/>
    </x:row>
    <x:row r="28">
      <x:c r="A28" s="9" t="inlineStr">
        <x:is>
          <x:t xml:space="preserve">EKUITAS</x:t>
        </x:is>
      </x:c>
      <x:c r="B28" s="9" t="inlineStr">
        <x:is>
          <x:t xml:space="preserve">Modal saham</x:t>
        </x:is>
      </x:c>
      <x:c r="C28" s="10" t="inlineStr">
        <x:is>
          <x:t xml:space="preserve"/>
        </x:is>
      </x:c>
      <x:c r="D28" s="10" t="inlineStr">
        <x:is>
          <x:t xml:space="preserve"/>
        </x:is>
      </x:c>
      <x:c r="E28" s="10" t="inlineStr">
        <x:is>
          <x:t xml:space="preserve"/>
        </x:is>
      </x:c>
      <x:c r="F28" s="11">
        <x:f>IFERROR((C28/D28)-1,"")</x:f>
      </x:c>
      <x:c r="G28" s="11">
        <x:f>IFERROR(C28/$C$18,"")</x:f>
      </x:c>
      <x:c r="H28" s="9" t="inlineStr">
        <x:is>
          <x:t xml:space="preserve">Penting</x:t>
        </x:is>
      </x:c>
      <x:c r="I28" s="9" t="n"/>
    </x:row>
    <x:row r="29">
      <x:c r="A29" s="9" t="inlineStr">
        <x:is>
          <x:t xml:space="preserve">EKUITAS</x:t>
        </x:is>
      </x:c>
      <x:c r="B29" s="9" t="inlineStr">
        <x:is>
          <x:t xml:space="preserve">Tambahan modal disetor</x:t>
        </x:is>
      </x:c>
      <x:c r="C29" s="10" t="inlineStr">
        <x:is>
          <x:t xml:space="preserve"/>
        </x:is>
      </x:c>
      <x:c r="D29" s="10" t="inlineStr">
        <x:is>
          <x:t xml:space="preserve"/>
        </x:is>
      </x:c>
      <x:c r="E29" s="10" t="inlineStr">
        <x:is>
          <x:t xml:space="preserve"/>
        </x:is>
      </x:c>
      <x:c r="F29" s="11">
        <x:f>IFERROR((C29/D29)-1,"")</x:f>
      </x:c>
      <x:c r="G29" s="11">
        <x:f>IFERROR(C29/$C$18,"")</x:f>
      </x:c>
      <x:c r="H29" s="9" t="inlineStr">
        <x:is>
          <x:t xml:space="preserve">Opsional</x:t>
        </x:is>
      </x:c>
      <x:c r="I29" s="9" t="n"/>
    </x:row>
    <x:row r="30">
      <x:c r="A30" s="9" t="inlineStr">
        <x:is>
          <x:t xml:space="preserve">EKUITAS</x:t>
        </x:is>
      </x:c>
      <x:c r="B30" s="9" t="inlineStr">
        <x:is>
          <x:t xml:space="preserve">Saldo laba</x:t>
        </x:is>
      </x:c>
      <x:c r="C30" s="10" t="inlineStr">
        <x:is>
          <x:t xml:space="preserve"/>
        </x:is>
      </x:c>
      <x:c r="D30" s="10" t="inlineStr">
        <x:is>
          <x:t xml:space="preserve"/>
        </x:is>
      </x:c>
      <x:c r="E30" s="10" t="inlineStr">
        <x:is>
          <x:t xml:space="preserve"/>
        </x:is>
      </x:c>
      <x:c r="F30" s="11">
        <x:f>IFERROR((C30/D30)-1,"")</x:f>
      </x:c>
      <x:c r="G30" s="11">
        <x:f>IFERROR(C30/$C$18,"")</x:f>
      </x:c>
      <x:c r="H30" s="9" t="inlineStr">
        <x:is>
          <x:t xml:space="preserve">Penting</x:t>
        </x:is>
      </x:c>
      <x:c r="I30" s="9" t="n"/>
    </x:row>
    <x:row r="31">
      <x:c r="A31" s="9" t="inlineStr">
        <x:is>
          <x:t xml:space="preserve">EKUITAS</x:t>
        </x:is>
      </x:c>
      <x:c r="B31" s="9" t="inlineStr">
        <x:is>
          <x:t xml:space="preserve">Cadangan FVOCI / fair value reserve</x:t>
        </x:is>
      </x:c>
      <x:c r="C31" s="10" t="inlineStr">
        <x:is>
          <x:t xml:space="preserve"/>
        </x:is>
      </x:c>
      <x:c r="D31" s="10" t="inlineStr">
        <x:is>
          <x:t xml:space="preserve"/>
        </x:is>
      </x:c>
      <x:c r="E31" s="10" t="inlineStr">
        <x:is>
          <x:t xml:space="preserve"/>
        </x:is>
      </x:c>
      <x:c r="F31" s="11">
        <x:f>IFERROR((C31/D31)-1,"")</x:f>
      </x:c>
      <x:c r="G31" s="11">
        <x:f>IFERROR(C31/$C$18,"")</x:f>
      </x:c>
      <x:c r="H31" s="9" t="inlineStr">
        <x:is>
          <x:t xml:space="preserve">Penting</x:t>
        </x:is>
      </x:c>
      <x:c r="I31" s="9" t="n"/>
    </x:row>
    <x:row r="32">
      <x:c r="A32" s="9" t="inlineStr">
        <x:is>
          <x:t xml:space="preserve">EKUITAS</x:t>
        </x:is>
      </x:c>
      <x:c r="B32" s="9" t="inlineStr">
        <x:is>
          <x:t xml:space="preserve">Cadangan insurance finance OCI</x:t>
        </x:is>
      </x:c>
      <x:c r="C32" s="10" t="inlineStr">
        <x:is>
          <x:t xml:space="preserve"/>
        </x:is>
      </x:c>
      <x:c r="D32" s="10" t="inlineStr">
        <x:is>
          <x:t xml:space="preserve"/>
        </x:is>
      </x:c>
      <x:c r="E32" s="10" t="inlineStr">
        <x:is>
          <x:t xml:space="preserve"/>
        </x:is>
      </x:c>
      <x:c r="F32" s="11">
        <x:f>IFERROR((C32/D32)-1,"")</x:f>
      </x:c>
      <x:c r="G32" s="11">
        <x:f>IFERROR(C32/$C$18,"")</x:f>
      </x:c>
      <x:c r="H32" s="9" t="inlineStr">
        <x:is>
          <x:t xml:space="preserve">Opsional</x:t>
        </x:is>
      </x:c>
      <x:c r="I32" s="9" t="n"/>
    </x:row>
    <x:row r="33">
      <x:c r="A33" s="9" t="inlineStr">
        <x:is>
          <x:t xml:space="preserve">EKUITAS</x:t>
        </x:is>
      </x:c>
      <x:c r="B33" s="9" t="inlineStr">
        <x:is>
          <x:t xml:space="preserve">Cadangan OCI dan cadangan lain-lain</x:t>
        </x:is>
      </x:c>
      <x:c r="C33" s="10" t="inlineStr">
        <x:is>
          <x:t xml:space="preserve"/>
        </x:is>
      </x:c>
      <x:c r="D33" s="10" t="inlineStr">
        <x:is>
          <x:t xml:space="preserve"/>
        </x:is>
      </x:c>
      <x:c r="E33" s="10" t="inlineStr">
        <x:is>
          <x:t xml:space="preserve"/>
        </x:is>
      </x:c>
      <x:c r="F33" s="11">
        <x:f>IFERROR((C33/D33)-1,"")</x:f>
      </x:c>
      <x:c r="G33" s="11">
        <x:f>IFERROR(C33/$C$18,"")</x:f>
      </x:c>
      <x:c r="H33" s="9" t="inlineStr">
        <x:is>
          <x:t xml:space="preserve">Opsional</x:t>
        </x:is>
      </x:c>
      <x:c r="I33" s="9" t="n"/>
    </x:row>
    <x:row r="34">
      <x:c r="A34" s="12" t="inlineStr">
        <x:is>
          <x:t xml:space="preserve">EKUITAS</x:t>
        </x:is>
      </x:c>
      <x:c r="B34" s="12" t="inlineStr">
        <x:is>
          <x:t xml:space="preserve">TOTAL EKUITAS</x:t>
        </x:is>
      </x:c>
      <x:c r="C34" s="13">
        <x:f>SUM(C28:C33)</x:f>
        <x:v>0</x:v>
      </x:c>
      <x:c r="D34" s="13">
        <x:f>SUM(D28:D33)</x:f>
        <x:v>0</x:v>
      </x:c>
      <x:c r="E34" s="13">
        <x:f>SUM(E28:E33)</x:f>
        <x:v>0</x:v>
      </x:c>
      <x:c r="F34" s="14">
        <x:f>IFERROR((C34/D34)-1,"")</x:f>
      </x:c>
      <x:c r="G34" s="14">
        <x:f>IFERROR(C34/$C$18,"")</x:f>
      </x:c>
      <x:c r="H34" s="15" t="inlineStr">
        <x:is>
          <x:t xml:space="preserve">Formula</x:t>
        </x:is>
      </x:c>
      <x:c r="I34" s="15" t="n"/>
    </x:row>
    <x:row r="35">
      <x:c r="A35" s="12" t="inlineStr">
        <x:is>
          <x:t xml:space="preserve">KONTROL</x:t>
        </x:is>
      </x:c>
      <x:c r="B35" s="12" t="inlineStr">
        <x:is>
          <x:t xml:space="preserve">TOTAL LIAB + DANA PESERTA + EKUITAS</x:t>
        </x:is>
      </x:c>
      <x:c r="C35" s="13">
        <x:f>C26+C27+C34</x:f>
        <x:v>0</x:v>
      </x:c>
      <x:c r="D35" s="13">
        <x:f>D26+D27+D34</x:f>
        <x:v>0</x:v>
      </x:c>
      <x:c r="E35" s="13">
        <x:f>E26+E27+E34</x:f>
        <x:v>0</x:v>
      </x:c>
      <x:c r="F35" s="14">
        <x:f>IFERROR((C35/D35)-1,"")</x:f>
      </x:c>
      <x:c r="G35" s="14">
        <x:f>IFERROR(C35/$C$18,"")</x:f>
      </x:c>
      <x:c r="H35" s="15" t="inlineStr">
        <x:is>
          <x:t xml:space="preserve">Formula</x:t>
        </x:is>
      </x:c>
      <x:c r="I35" s="15" t="n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150c1b07c4d044aa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48" customWidth="1"/>
    <x:col min="3" max="3" width="15" customWidth="1"/>
    <x:col min="4" max="4" width="15" customWidth="1"/>
    <x:col min="5" max="5" width="15" customWidth="1"/>
    <x:col min="6" max="6" width="12" customWidth="1"/>
    <x:col min="7" max="7" width="12" customWidth="1"/>
    <x:col min="8" max="8" width="14" customWidth="1"/>
    <x:col min="9" max="9" width="24" customWidth="1"/>
  </x:cols>
  <x:sheetData>
    <x:row r="1">
      <x:c r="A1" s="1" t="inlineStr">
        <x:is>
          <x:t xml:space="preserve">INPUT PROFIT OR LOSS &amp; OTHER COMPREHENSIVE INCOME</x:t>
        </x:is>
      </x:c>
    </x:row>
    <x:row r="2">
      <x:c r="A2" s="4" t="inlineStr">
        <x:is>
          <x:t xml:space="preserve">Kelompok</x:t>
        </x:is>
      </x:c>
      <x:c r="B2" s="4" t="inlineStr">
        <x:is>
          <x:t xml:space="preserve">Akun standar</x:t>
        </x:is>
      </x:c>
      <x:c r="C2" s="4" t="inlineStr">
        <x:is>
          <x:t xml:space="preserve">Tahun berjalan</x:t>
        </x:is>
      </x:c>
      <x:c r="D2" s="4" t="inlineStr">
        <x:is>
          <x:t xml:space="preserve">Pembanding 1</x:t>
        </x:is>
      </x:c>
      <x:c r="E2" s="4" t="inlineStr">
        <x:is>
          <x:t xml:space="preserve">Pembanding 2</x:t>
        </x:is>
      </x:c>
      <x:c r="F2" s="4" t="inlineStr">
        <x:is>
          <x:t xml:space="preserve">Growth vs PY</x:t>
        </x:is>
      </x:c>
      <x:c r="G2" s="4" t="inlineStr">
        <x:is>
          <x:t xml:space="preserve">Margin / Ratio CY</x:t>
        </x:is>
      </x:c>
      <x:c r="H2" s="4" t="inlineStr">
        <x:is>
          <x:t xml:space="preserve">Wajib / Opsional</x:t>
        </x:is>
      </x:c>
      <x:c r="I2" s="4" t="inlineStr">
        <x:is>
          <x:t xml:space="preserve">Catatan user</x:t>
        </x:is>
      </x:c>
    </x:row>
    <x:row r="3">
      <x:c r="A3" s="9" t="inlineStr">
        <x:is>
          <x:t xml:space="preserve">HASIL JASA ASURANSI</x:t>
        </x:is>
      </x:c>
      <x:c r="B3" s="9" t="inlineStr">
        <x:is>
          <x:t xml:space="preserve">Insurance revenue</x:t>
        </x:is>
      </x:c>
      <x:c r="C3" s="16" t="inlineStr">
        <x:is>
          <x:t xml:space="preserve"/>
        </x:is>
      </x:c>
      <x:c r="D3" s="16" t="inlineStr">
        <x:is>
          <x:t xml:space="preserve"/>
        </x:is>
      </x:c>
      <x:c r="E3" s="16" t="inlineStr">
        <x:is>
          <x:t xml:space="preserve"/>
        </x:is>
      </x:c>
      <x:c r="F3" s="11">
        <x:f>IFERROR((C3/D3)-1,"")</x:f>
      </x:c>
      <x:c r="G3" s="11">
        <x:f>IFERROR(C3/C3,"")</x:f>
      </x:c>
      <x:c r="H3" s="9" t="inlineStr">
        <x:is>
          <x:t xml:space="preserve">Penting</x:t>
        </x:is>
      </x:c>
      <x:c r="I3" s="9" t="n"/>
    </x:row>
    <x:row r="4">
      <x:c r="A4" s="9" t="inlineStr">
        <x:is>
          <x:t xml:space="preserve">HASIL JASA ASURANSI</x:t>
        </x:is>
      </x:c>
      <x:c r="B4" s="9" t="inlineStr">
        <x:is>
          <x:t xml:space="preserve">Insurance service expense</x:t>
        </x:is>
      </x:c>
      <x:c r="C4" s="16" t="inlineStr">
        <x:is>
          <x:t xml:space="preserve"/>
        </x:is>
      </x:c>
      <x:c r="D4" s="16" t="inlineStr">
        <x:is>
          <x:t xml:space="preserve"/>
        </x:is>
      </x:c>
      <x:c r="E4" s="16" t="inlineStr">
        <x:is>
          <x:t xml:space="preserve"/>
        </x:is>
      </x:c>
      <x:c r="F4" s="11">
        <x:f>IFERROR((C4/D4)-1,"")</x:f>
      </x:c>
      <x:c r="G4" s="11">
        <x:f>IFERROR(C4/C3,"")</x:f>
      </x:c>
      <x:c r="H4" s="9" t="inlineStr">
        <x:is>
          <x:t xml:space="preserve">Penting</x:t>
        </x:is>
      </x:c>
      <x:c r="I4" s="9" t="n"/>
    </x:row>
    <x:row r="5">
      <x:c r="A5" s="9" t="inlineStr">
        <x:is>
          <x:t xml:space="preserve">HASIL JASA ASURANSI</x:t>
        </x:is>
      </x:c>
      <x:c r="B5" s="9" t="inlineStr">
        <x:is>
          <x:t xml:space="preserve">Net expense/(income) from reinsurance contracts held</x:t>
        </x:is>
      </x:c>
      <x:c r="C5" s="16" t="inlineStr">
        <x:is>
          <x:t xml:space="preserve"/>
        </x:is>
      </x:c>
      <x:c r="D5" s="16" t="inlineStr">
        <x:is>
          <x:t xml:space="preserve"/>
        </x:is>
      </x:c>
      <x:c r="E5" s="16" t="inlineStr">
        <x:is>
          <x:t xml:space="preserve"/>
        </x:is>
      </x:c>
      <x:c r="F5" s="11">
        <x:f>IFERROR((C5/D5)-1,"")</x:f>
      </x:c>
      <x:c r="G5" s="11">
        <x:f>IFERROR(C5/C3,"")</x:f>
      </x:c>
      <x:c r="H5" s="9" t="inlineStr">
        <x:is>
          <x:t xml:space="preserve">Penting</x:t>
        </x:is>
      </x:c>
      <x:c r="I5" s="9" t="n"/>
    </x:row>
    <x:row r="6">
      <x:c r="A6" s="12" t="inlineStr">
        <x:is>
          <x:t xml:space="preserve">HASIL JASA ASURANSI</x:t>
        </x:is>
      </x:c>
      <x:c r="B6" s="12" t="inlineStr">
        <x:is>
          <x:t xml:space="preserve">INSURANCE SERVICE RESULT</x:t>
        </x:is>
      </x:c>
      <x:c r="C6" s="13">
        <x:f>SUM(C3:C5)</x:f>
        <x:v>0</x:v>
      </x:c>
      <x:c r="D6" s="13">
        <x:f>SUM(D3:D5)</x:f>
        <x:v>0</x:v>
      </x:c>
      <x:c r="E6" s="13">
        <x:f>SUM(E3:E5)</x:f>
        <x:v>0</x:v>
      </x:c>
      <x:c r="F6" s="14">
        <x:f>IFERROR((C6/D6)-1,"")</x:f>
      </x:c>
      <x:c r="G6" s="14">
        <x:f>IFERROR(C6/C3,"")</x:f>
      </x:c>
      <x:c r="H6" s="15" t="inlineStr">
        <x:is>
          <x:t xml:space="preserve">Formula</x:t>
        </x:is>
      </x:c>
      <x:c r="I6" s="15" t="n"/>
    </x:row>
    <x:row r="7">
      <x:c r="A7" s="9" t="inlineStr">
        <x:is>
          <x:t xml:space="preserve">INVESTASI &amp; KEUANGAN</x:t>
        </x:is>
      </x:c>
      <x:c r="B7" s="9" t="inlineStr">
        <x:is>
          <x:t xml:space="preserve">Net investment result / investment income - net</x:t>
        </x:is>
      </x:c>
      <x:c r="C7" s="16" t="inlineStr">
        <x:is>
          <x:t xml:space="preserve"/>
        </x:is>
      </x:c>
      <x:c r="D7" s="16" t="inlineStr">
        <x:is>
          <x:t xml:space="preserve"/>
        </x:is>
      </x:c>
      <x:c r="E7" s="16" t="inlineStr">
        <x:is>
          <x:t xml:space="preserve"/>
        </x:is>
      </x:c>
      <x:c r="F7" s="11">
        <x:f>IFERROR((C7/D7)-1,"")</x:f>
      </x:c>
      <x:c r="G7" s="11">
        <x:f>IFERROR(C7/C22,"")</x:f>
      </x:c>
      <x:c r="H7" s="9" t="inlineStr">
        <x:is>
          <x:t xml:space="preserve">Penting</x:t>
        </x:is>
      </x:c>
      <x:c r="I7" s="9" t="n"/>
    </x:row>
    <x:row r="8">
      <x:c r="A8" s="9" t="inlineStr">
        <x:is>
          <x:t xml:space="preserve">INVESTASI &amp; KEUANGAN</x:t>
        </x:is>
      </x:c>
      <x:c r="B8" s="9" t="inlineStr">
        <x:is>
          <x:t xml:space="preserve">Insurance finance income/(expense) from contracts issued</x:t>
        </x:is>
      </x:c>
      <x:c r="C8" s="16" t="inlineStr">
        <x:is>
          <x:t xml:space="preserve"/>
        </x:is>
      </x:c>
      <x:c r="D8" s="16" t="inlineStr">
        <x:is>
          <x:t xml:space="preserve"/>
        </x:is>
      </x:c>
      <x:c r="E8" s="16" t="inlineStr">
        <x:is>
          <x:t xml:space="preserve"/>
        </x:is>
      </x:c>
      <x:c r="F8" s="11">
        <x:f>IFERROR((C8/D8)-1,"")</x:f>
      </x:c>
      <x:c r="G8" s="11">
        <x:f>IFERROR(C8/C22,"")</x:f>
      </x:c>
      <x:c r="H8" s="9" t="inlineStr">
        <x:is>
          <x:t xml:space="preserve">Opsional</x:t>
        </x:is>
      </x:c>
      <x:c r="I8" s="9" t="n"/>
    </x:row>
    <x:row r="9">
      <x:c r="A9" s="9" t="inlineStr">
        <x:is>
          <x:t xml:space="preserve">INVESTASI &amp; KEUANGAN</x:t>
        </x:is>
      </x:c>
      <x:c r="B9" s="9" t="inlineStr">
        <x:is>
          <x:t xml:space="preserve">Insurance finance income/(expense) from reinsurance held</x:t>
        </x:is>
      </x:c>
      <x:c r="C9" s="16" t="inlineStr">
        <x:is>
          <x:t xml:space="preserve"/>
        </x:is>
      </x:c>
      <x:c r="D9" s="16" t="inlineStr">
        <x:is>
          <x:t xml:space="preserve"/>
        </x:is>
      </x:c>
      <x:c r="E9" s="16" t="inlineStr">
        <x:is>
          <x:t xml:space="preserve"/>
        </x:is>
      </x:c>
      <x:c r="F9" s="11">
        <x:f>IFERROR((C9/D9)-1,"")</x:f>
      </x:c>
      <x:c r="G9" s="11">
        <x:f>IFERROR(C9/C22,"")</x:f>
      </x:c>
      <x:c r="H9" s="9" t="inlineStr">
        <x:is>
          <x:t xml:space="preserve">Opsional</x:t>
        </x:is>
      </x:c>
      <x:c r="I9" s="9" t="n"/>
    </x:row>
    <x:row r="10">
      <x:c r="A10" s="9" t="inlineStr">
        <x:is>
          <x:t xml:space="preserve">INVESTASI &amp; KEUANGAN</x:t>
        </x:is>
      </x:c>
      <x:c r="B10" s="9" t="inlineStr">
        <x:is>
          <x:t xml:space="preserve">Net impairment gain/(loss) on financial assets</x:t>
        </x:is>
      </x:c>
      <x:c r="C10" s="16" t="inlineStr">
        <x:is>
          <x:t xml:space="preserve"/>
        </x:is>
      </x:c>
      <x:c r="D10" s="16" t="inlineStr">
        <x:is>
          <x:t xml:space="preserve"/>
        </x:is>
      </x:c>
      <x:c r="E10" s="16" t="inlineStr">
        <x:is>
          <x:t xml:space="preserve"/>
        </x:is>
      </x:c>
      <x:c r="F10" s="11">
        <x:f>IFERROR((C10/D10)-1,"")</x:f>
      </x:c>
      <x:c r="G10" s="11">
        <x:f>IFERROR(C10/C22,"")</x:f>
      </x:c>
      <x:c r="H10" s="9" t="inlineStr">
        <x:is>
          <x:t xml:space="preserve">Opsional</x:t>
        </x:is>
      </x:c>
      <x:c r="I10" s="9" t="n"/>
    </x:row>
    <x:row r="11">
      <x:c r="A11" s="9" t="inlineStr">
        <x:is>
          <x:t xml:space="preserve">INVESTASI &amp; KEUANGAN</x:t>
        </x:is>
      </x:c>
      <x:c r="B11" s="9" t="inlineStr">
        <x:is>
          <x:t xml:space="preserve">Fee and other operating income</x:t>
        </x:is>
      </x:c>
      <x:c r="C11" s="16" t="inlineStr">
        <x:is>
          <x:t xml:space="preserve"/>
        </x:is>
      </x:c>
      <x:c r="D11" s="16" t="inlineStr">
        <x:is>
          <x:t xml:space="preserve"/>
        </x:is>
      </x:c>
      <x:c r="E11" s="16" t="inlineStr">
        <x:is>
          <x:t xml:space="preserve"/>
        </x:is>
      </x:c>
      <x:c r="F11" s="11">
        <x:f>IFERROR((C11/D11)-1,"")</x:f>
      </x:c>
      <x:c r="G11" s="11">
        <x:f>IFERROR(C11/C22,"")</x:f>
      </x:c>
      <x:c r="H11" s="9" t="inlineStr">
        <x:is>
          <x:t xml:space="preserve">Opsional</x:t>
        </x:is>
      </x:c>
      <x:c r="I11" s="9" t="n"/>
    </x:row>
    <x:row r="12">
      <x:c r="A12" s="9" t="inlineStr">
        <x:is>
          <x:t xml:space="preserve">BEBAN</x:t>
        </x:is>
      </x:c>
      <x:c r="B12" s="9" t="inlineStr">
        <x:is>
          <x:t xml:space="preserve">Operating expenses outside insurance service expense</x:t>
        </x:is>
      </x:c>
      <x:c r="C12" s="16" t="inlineStr">
        <x:is>
          <x:t xml:space="preserve"/>
        </x:is>
      </x:c>
      <x:c r="D12" s="16" t="inlineStr">
        <x:is>
          <x:t xml:space="preserve"/>
        </x:is>
      </x:c>
      <x:c r="E12" s="16" t="inlineStr">
        <x:is>
          <x:t xml:space="preserve"/>
        </x:is>
      </x:c>
      <x:c r="F12" s="11">
        <x:f>IFERROR((C12/D12)-1,"")</x:f>
      </x:c>
      <x:c r="G12" s="11">
        <x:f>IFERROR(C12/C22,"")</x:f>
      </x:c>
      <x:c r="H12" s="9" t="inlineStr">
        <x:is>
          <x:t xml:space="preserve">Penting</x:t>
        </x:is>
      </x:c>
      <x:c r="I12" s="9" t="n"/>
    </x:row>
    <x:row r="13">
      <x:c r="A13" s="9" t="inlineStr">
        <x:is>
          <x:t xml:space="preserve">BEBAN</x:t>
        </x:is>
      </x:c>
      <x:c r="B13" s="9" t="inlineStr">
        <x:is>
          <x:t xml:space="preserve">Finance costs and other non-operating items</x:t>
        </x:is>
      </x:c>
      <x:c r="C13" s="16" t="inlineStr">
        <x:is>
          <x:t xml:space="preserve"/>
        </x:is>
      </x:c>
      <x:c r="D13" s="16" t="inlineStr">
        <x:is>
          <x:t xml:space="preserve"/>
        </x:is>
      </x:c>
      <x:c r="E13" s="16" t="inlineStr">
        <x:is>
          <x:t xml:space="preserve"/>
        </x:is>
      </x:c>
      <x:c r="F13" s="11">
        <x:f>IFERROR((C13/D13)-1,"")</x:f>
      </x:c>
      <x:c r="G13" s="11">
        <x:f>IFERROR(C13/C22,"")</x:f>
      </x:c>
      <x:c r="H13" s="9" t="inlineStr">
        <x:is>
          <x:t xml:space="preserve">Opsional</x:t>
        </x:is>
      </x:c>
      <x:c r="I13" s="9" t="n"/>
    </x:row>
    <x:row r="14">
      <x:c r="A14" s="12" t="inlineStr">
        <x:is>
          <x:t xml:space="preserve">LABA</x:t>
        </x:is>
      </x:c>
      <x:c r="B14" s="12" t="inlineStr">
        <x:is>
          <x:t xml:space="preserve">PROFIT BEFORE TAX</x:t>
        </x:is>
      </x:c>
      <x:c r="C14" s="13">
        <x:f>SUM(C6:C13)</x:f>
        <x:v>0</x:v>
      </x:c>
      <x:c r="D14" s="13">
        <x:f>SUM(D6:D13)</x:f>
        <x:v>0</x:v>
      </x:c>
      <x:c r="E14" s="13">
        <x:f>SUM(E6:E13)</x:f>
        <x:v>0</x:v>
      </x:c>
      <x:c r="F14" s="14">
        <x:f>IFERROR((C14/D14)-1,"")</x:f>
      </x:c>
      <x:c r="G14" s="14">
        <x:f>IFERROR(C14/C22,"")</x:f>
      </x:c>
      <x:c r="H14" s="15" t="inlineStr">
        <x:is>
          <x:t xml:space="preserve">Formula</x:t>
        </x:is>
      </x:c>
      <x:c r="I14" s="15" t="n"/>
    </x:row>
    <x:row r="15">
      <x:c r="A15" s="9" t="inlineStr">
        <x:is>
          <x:t xml:space="preserve">LABA</x:t>
        </x:is>
      </x:c>
      <x:c r="B15" s="9" t="inlineStr">
        <x:is>
          <x:t xml:space="preserve">Income tax expense</x:t>
        </x:is>
      </x:c>
      <x:c r="C15" s="16" t="inlineStr">
        <x:is>
          <x:t xml:space="preserve"/>
        </x:is>
      </x:c>
      <x:c r="D15" s="16" t="inlineStr">
        <x:is>
          <x:t xml:space="preserve"/>
        </x:is>
      </x:c>
      <x:c r="E15" s="16" t="inlineStr">
        <x:is>
          <x:t xml:space="preserve"/>
        </x:is>
      </x:c>
      <x:c r="F15" s="11">
        <x:f>IFERROR((C15/D15)-1,"")</x:f>
      </x:c>
      <x:c r="G15" s="11">
        <x:f>IFERROR(C15/C22,"")</x:f>
      </x:c>
      <x:c r="H15" s="9" t="inlineStr">
        <x:is>
          <x:t xml:space="preserve">Penting</x:t>
        </x:is>
      </x:c>
      <x:c r="I15" s="9" t="n"/>
    </x:row>
    <x:row r="16">
      <x:c r="A16" s="12" t="inlineStr">
        <x:is>
          <x:t xml:space="preserve">LABA</x:t>
        </x:is>
      </x:c>
      <x:c r="B16" s="12" t="inlineStr">
        <x:is>
          <x:t xml:space="preserve">PROFIT FOR THE YEAR</x:t>
        </x:is>
      </x:c>
      <x:c r="C16" s="13">
        <x:f>SUM(C14:C15)</x:f>
        <x:v>0</x:v>
      </x:c>
      <x:c r="D16" s="13">
        <x:f>SUM(D14:D15)</x:f>
        <x:v>0</x:v>
      </x:c>
      <x:c r="E16" s="13">
        <x:f>SUM(E14:E15)</x:f>
        <x:v>0</x:v>
      </x:c>
      <x:c r="F16" s="14">
        <x:f>IFERROR((C16/D16)-1,"")</x:f>
      </x:c>
      <x:c r="G16" s="14">
        <x:f>IFERROR(C16/C22,"")</x:f>
      </x:c>
      <x:c r="H16" s="15" t="inlineStr">
        <x:is>
          <x:t xml:space="preserve">Formula</x:t>
        </x:is>
      </x:c>
      <x:c r="I16" s="15" t="n"/>
    </x:row>
    <x:row r="17">
      <x:c r="A17" s="9" t="inlineStr">
        <x:is>
          <x:t xml:space="preserve">OCI</x:t>
        </x:is>
      </x:c>
      <x:c r="B17" s="9" t="inlineStr">
        <x:is>
          <x:t xml:space="preserve">OCI - FVOCI reserve movement</x:t>
        </x:is>
      </x:c>
      <x:c r="C17" s="16" t="inlineStr">
        <x:is>
          <x:t xml:space="preserve"/>
        </x:is>
      </x:c>
      <x:c r="D17" s="16" t="inlineStr">
        <x:is>
          <x:t xml:space="preserve"/>
        </x:is>
      </x:c>
      <x:c r="E17" s="16" t="inlineStr">
        <x:is>
          <x:t xml:space="preserve"/>
        </x:is>
      </x:c>
      <x:c r="F17" s="11">
        <x:f>IFERROR((C17/D17)-1,"")</x:f>
      </x:c>
      <x:c r="G17" s="11">
        <x:f>IFERROR(C17/C22,"")</x:f>
      </x:c>
      <x:c r="H17" s="9" t="inlineStr">
        <x:is>
          <x:t xml:space="preserve">Opsional</x:t>
        </x:is>
      </x:c>
      <x:c r="I17" s="9" t="n"/>
    </x:row>
    <x:row r="18">
      <x:c r="A18" s="9" t="inlineStr">
        <x:is>
          <x:t xml:space="preserve">OCI</x:t>
        </x:is>
      </x:c>
      <x:c r="B18" s="9" t="inlineStr">
        <x:is>
          <x:t xml:space="preserve">OCI - insurance finance OCI</x:t>
        </x:is>
      </x:c>
      <x:c r="C18" s="16" t="inlineStr">
        <x:is>
          <x:t xml:space="preserve"/>
        </x:is>
      </x:c>
      <x:c r="D18" s="16" t="inlineStr">
        <x:is>
          <x:t xml:space="preserve"/>
        </x:is>
      </x:c>
      <x:c r="E18" s="16" t="inlineStr">
        <x:is>
          <x:t xml:space="preserve"/>
        </x:is>
      </x:c>
      <x:c r="F18" s="11">
        <x:f>IFERROR((C18/D18)-1,"")</x:f>
      </x:c>
      <x:c r="G18" s="11">
        <x:f>IFERROR(C18/C22,"")</x:f>
      </x:c>
      <x:c r="H18" s="9" t="inlineStr">
        <x:is>
          <x:t xml:space="preserve">Opsional</x:t>
        </x:is>
      </x:c>
      <x:c r="I18" s="9" t="n"/>
    </x:row>
    <x:row r="19">
      <x:c r="A19" s="9" t="inlineStr">
        <x:is>
          <x:t xml:space="preserve">OCI</x:t>
        </x:is>
      </x:c>
      <x:c r="B19" s="9" t="inlineStr">
        <x:is>
          <x:t xml:space="preserve">OCI - other OCI</x:t>
        </x:is>
      </x:c>
      <x:c r="C19" s="16" t="inlineStr">
        <x:is>
          <x:t xml:space="preserve"/>
        </x:is>
      </x:c>
      <x:c r="D19" s="16" t="inlineStr">
        <x:is>
          <x:t xml:space="preserve"/>
        </x:is>
      </x:c>
      <x:c r="E19" s="16" t="inlineStr">
        <x:is>
          <x:t xml:space="preserve"/>
        </x:is>
      </x:c>
      <x:c r="F19" s="11">
        <x:f>IFERROR((C19/D19)-1,"")</x:f>
      </x:c>
      <x:c r="G19" s="11">
        <x:f>IFERROR(C19/C22,"")</x:f>
      </x:c>
      <x:c r="H19" s="9" t="inlineStr">
        <x:is>
          <x:t xml:space="preserve">Opsional</x:t>
        </x:is>
      </x:c>
      <x:c r="I19" s="9" t="n"/>
    </x:row>
    <x:row r="20">
      <x:c r="A20" s="12" t="inlineStr">
        <x:is>
          <x:t xml:space="preserve">OCI</x:t>
        </x:is>
      </x:c>
      <x:c r="B20" s="12" t="inlineStr">
        <x:is>
          <x:t xml:space="preserve">TOTAL OCI</x:t>
        </x:is>
      </x:c>
      <x:c r="C20" s="13">
        <x:f>SUM(C17:C19)</x:f>
        <x:v>0</x:v>
      </x:c>
      <x:c r="D20" s="13">
        <x:f>SUM(D17:D19)</x:f>
        <x:v>0</x:v>
      </x:c>
      <x:c r="E20" s="13">
        <x:f>SUM(E17:E19)</x:f>
        <x:v>0</x:v>
      </x:c>
      <x:c r="F20" s="14">
        <x:f>IFERROR((C20/D20)-1,"")</x:f>
      </x:c>
      <x:c r="G20" s="14">
        <x:f>IFERROR(C20/C22,"")</x:f>
      </x:c>
      <x:c r="H20" s="15" t="inlineStr">
        <x:is>
          <x:t xml:space="preserve">Formula</x:t>
        </x:is>
      </x:c>
      <x:c r="I20" s="15" t="n"/>
    </x:row>
    <x:row r="21">
      <x:c r="A21" s="12" t="inlineStr">
        <x:is>
          <x:t xml:space="preserve">OCI</x:t>
        </x:is>
      </x:c>
      <x:c r="B21" s="12" t="inlineStr">
        <x:is>
          <x:t xml:space="preserve">TOTAL COMPREHENSIVE INCOME</x:t>
        </x:is>
      </x:c>
      <x:c r="C21" s="13">
        <x:f>C16+C20</x:f>
        <x:v>0</x:v>
      </x:c>
      <x:c r="D21" s="13">
        <x:f>D16+D20</x:f>
        <x:v>0</x:v>
      </x:c>
      <x:c r="E21" s="13">
        <x:f>E16+E20</x:f>
        <x:v>0</x:v>
      </x:c>
      <x:c r="F21" s="14">
        <x:f>IFERROR((C21/D21)-1,"")</x:f>
      </x:c>
      <x:c r="G21" s="14">
        <x:f>IFERROR(C21/C22,"")</x:f>
      </x:c>
      <x:c r="H21" s="15" t="inlineStr">
        <x:is>
          <x:t xml:space="preserve">Formula</x:t>
        </x:is>
      </x:c>
      <x:c r="I21" s="15" t="n"/>
    </x:row>
    <x:row r="22">
      <x:c r="A22" s="12" t="inlineStr">
        <x:is>
          <x:t xml:space="preserve">KONTROL</x:t>
        </x:is>
      </x:c>
      <x:c r="B22" s="12" t="inlineStr">
        <x:is>
          <x:t xml:space="preserve">TOTAL INCOME (MANAGEMENT VIEW)</x:t>
        </x:is>
      </x:c>
      <x:c r="C22" s="13">
        <x:f>SUM(C3,C7:C11)</x:f>
        <x:v>0</x:v>
      </x:c>
      <x:c r="D22" s="13">
        <x:f>SUM(D3,D7:D11)</x:f>
        <x:v>0</x:v>
      </x:c>
      <x:c r="E22" s="13">
        <x:f>SUM(E3,E7:E11)</x:f>
        <x:v>0</x:v>
      </x:c>
      <x:c r="F22" s="14">
        <x:f>IFERROR((C22/D22)-1,"")</x:f>
      </x:c>
      <x:c r="G22" s="14">
        <x:f>IFERROR(C22/C22,"")</x:f>
      </x:c>
      <x:c r="H22" s="15" t="inlineStr">
        <x:is>
          <x:t xml:space="preserve">Formula</x:t>
        </x:is>
      </x:c>
      <x:c r="I22" s="15" t="n"/>
    </x:row>
  </x:sheetData>
  <x:mergeCells>
    <x:mergeCell ref="A1:I1"/>
  </x:mergeCells>
  <x:pageMargins left="0.7" right="0.7" top="0.75" bottom="0.75" header="0.3" footer="0.3"/>
  <x:legacyDrawing xmlns:r="http://schemas.openxmlformats.org/officeDocument/2006/relationships" r:id="R819273ba1b934db1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48" customWidth="1"/>
    <x:col min="3" max="3" width="15" customWidth="1"/>
    <x:col min="4" max="4" width="15" customWidth="1"/>
    <x:col min="5" max="5" width="15" customWidth="1"/>
    <x:col min="6" max="6" width="12" customWidth="1"/>
    <x:col min="7" max="7" width="12" customWidth="1"/>
    <x:col min="8" max="8" width="20" customWidth="1"/>
  </x:cols>
  <x:sheetData>
    <x:row r="1">
      <x:c r="A1" s="1" t="inlineStr">
        <x:is>
          <x:t xml:space="preserve">INPUT STATEMENT OF CASH FLOWS</x:t>
        </x:is>
      </x:c>
    </x:row>
    <x:row r="2">
      <x:c r="A2" s="4" t="inlineStr">
        <x:is>
          <x:t xml:space="preserve">Kelompok</x:t>
        </x:is>
      </x:c>
      <x:c r="B2" s="4" t="inlineStr">
        <x:is>
          <x:t xml:space="preserve">Akun</x:t>
        </x:is>
      </x:c>
      <x:c r="C2" s="4" t="inlineStr">
        <x:is>
          <x:t xml:space="preserve">Tahun berjalan</x:t>
        </x:is>
      </x:c>
      <x:c r="D2" s="4" t="inlineStr">
        <x:is>
          <x:t xml:space="preserve">Pembanding 1</x:t>
        </x:is>
      </x:c>
      <x:c r="E2" s="4" t="inlineStr">
        <x:is>
          <x:t xml:space="preserve">Pembanding 2</x:t>
        </x:is>
      </x:c>
      <x:c r="F2" s="4" t="inlineStr">
        <x:is>
          <x:t xml:space="preserve">Growth vs PY</x:t>
        </x:is>
      </x:c>
      <x:c r="G2" s="4" t="inlineStr">
        <x:is>
          <x:t xml:space="preserve">Ratio CY</x:t>
        </x:is>
      </x:c>
      <x:c r="H2" s="4" t="inlineStr">
        <x:is>
          <x:t xml:space="preserve">Catatan</x:t>
        </x:is>
      </x:c>
    </x:row>
    <x:row r="3">
      <x:c r="A3" s="9" t="inlineStr">
        <x:is>
          <x:t xml:space="preserve">OPERASI</x:t>
        </x:is>
      </x:c>
      <x:c r="B3" s="9" t="inlineStr">
        <x:is>
          <x:t xml:space="preserve">Net cash from/(used in) operating activities</x:t>
        </x:is>
      </x:c>
      <x:c r="C3" s="16" t="inlineStr">
        <x:is>
          <x:t xml:space="preserve"/>
        </x:is>
      </x:c>
      <x:c r="D3" s="16" t="inlineStr">
        <x:is>
          <x:t xml:space="preserve"/>
        </x:is>
      </x:c>
      <x:c r="E3" s="16" t="inlineStr">
        <x:is>
          <x:t xml:space="preserve"/>
        </x:is>
      </x:c>
      <x:c r="F3" s="11">
        <x:f>IFERROR((C3/D3)-1,"")</x:f>
      </x:c>
      <x:c r="G3" s="11">
        <x:f>IFERROR(C3/Input_PL_OCI!C16,"")</x:f>
      </x:c>
      <x:c r="H3" s="9" t="n"/>
    </x:row>
    <x:row r="4">
      <x:c r="A4" s="9" t="inlineStr">
        <x:is>
          <x:t xml:space="preserve">INVESTASI</x:t>
        </x:is>
      </x:c>
      <x:c r="B4" s="9" t="inlineStr">
        <x:is>
          <x:t xml:space="preserve">Net cash from/(used in) investing activities</x:t>
        </x:is>
      </x:c>
      <x:c r="C4" s="16" t="inlineStr">
        <x:is>
          <x:t xml:space="preserve"/>
        </x:is>
      </x:c>
      <x:c r="D4" s="16" t="inlineStr">
        <x:is>
          <x:t xml:space="preserve"/>
        </x:is>
      </x:c>
      <x:c r="E4" s="16" t="inlineStr">
        <x:is>
          <x:t xml:space="preserve"/>
        </x:is>
      </x:c>
      <x:c r="F4" s="11">
        <x:f>IFERROR((C4/D4)-1,"")</x:f>
      </x:c>
      <x:c r="G4" s="11">
        <x:f>IFERROR(C4/Input_PL_OCI!C16,"")</x:f>
      </x:c>
      <x:c r="H4" s="9" t="n"/>
    </x:row>
    <x:row r="5">
      <x:c r="A5" s="9" t="inlineStr">
        <x:is>
          <x:t xml:space="preserve">PENDANAAN</x:t>
        </x:is>
      </x:c>
      <x:c r="B5" s="9" t="inlineStr">
        <x:is>
          <x:t xml:space="preserve">Net cash from/(used in) financing activities</x:t>
        </x:is>
      </x:c>
      <x:c r="C5" s="16" t="inlineStr">
        <x:is>
          <x:t xml:space="preserve"/>
        </x:is>
      </x:c>
      <x:c r="D5" s="16" t="inlineStr">
        <x:is>
          <x:t xml:space="preserve"/>
        </x:is>
      </x:c>
      <x:c r="E5" s="16" t="inlineStr">
        <x:is>
          <x:t xml:space="preserve"/>
        </x:is>
      </x:c>
      <x:c r="F5" s="11">
        <x:f>IFERROR((C5/D5)-1,"")</x:f>
      </x:c>
      <x:c r="G5" s="11">
        <x:f>IFERROR(C5/Input_PL_OCI!C16,"")</x:f>
      </x:c>
      <x:c r="H5" s="9" t="n"/>
    </x:row>
    <x:row r="6">
      <x:c r="A6" s="12" t="inlineStr">
        <x:is>
          <x:t xml:space="preserve">NETO</x:t>
        </x:is>
      </x:c>
      <x:c r="B6" s="12" t="inlineStr">
        <x:is>
          <x:t xml:space="preserve">Net increase/(decrease) in cash</x:t>
        </x:is>
      </x:c>
      <x:c r="C6" s="13">
        <x:f>SUM(C3:C5)</x:f>
        <x:v>0</x:v>
      </x:c>
      <x:c r="D6" s="13">
        <x:f>SUM(D3:D5)</x:f>
        <x:v>0</x:v>
      </x:c>
      <x:c r="E6" s="13">
        <x:f>SUM(E3:E5)</x:f>
        <x:v>0</x:v>
      </x:c>
      <x:c r="F6" s="14">
        <x:f>IFERROR((C6/D6)-1,"")</x:f>
      </x:c>
      <x:c r="G6" s="14">
        <x:f>IFERROR(C6/Input_PL_OCI!C16,"")</x:f>
      </x:c>
      <x:c r="H6" s="15" t="n"/>
    </x:row>
    <x:row r="7">
      <x:c r="A7" s="9" t="inlineStr">
        <x:is>
          <x:t xml:space="preserve">SALDO</x:t>
        </x:is>
      </x:c>
      <x:c r="B7" s="9" t="inlineStr">
        <x:is>
          <x:t xml:space="preserve">Cash and cash equivalents at beginning of year</x:t>
        </x:is>
      </x:c>
      <x:c r="C7" s="16" t="inlineStr">
        <x:is>
          <x:t xml:space="preserve"/>
        </x:is>
      </x:c>
      <x:c r="D7" s="16" t="inlineStr">
        <x:is>
          <x:t xml:space="preserve"/>
        </x:is>
      </x:c>
      <x:c r="E7" s="16" t="inlineStr">
        <x:is>
          <x:t xml:space="preserve"/>
        </x:is>
      </x:c>
      <x:c r="F7" s="11">
        <x:f>IFERROR((C7/D7)-1,"")</x:f>
      </x:c>
      <x:c r="G7" s="11">
        <x:f>IFERROR(C7/Input_PL_OCI!C16,"")</x:f>
      </x:c>
      <x:c r="H7" s="9" t="n"/>
    </x:row>
    <x:row r="8">
      <x:c r="A8" s="12" t="inlineStr">
        <x:is>
          <x:t xml:space="preserve">SALDO</x:t>
        </x:is>
      </x:c>
      <x:c r="B8" s="12" t="inlineStr">
        <x:is>
          <x:t xml:space="preserve">Cash and cash equivalents at end of year</x:t>
        </x:is>
      </x:c>
      <x:c r="C8" s="13">
        <x:f>C7+C6</x:f>
        <x:v>0</x:v>
      </x:c>
      <x:c r="D8" s="13">
        <x:f>D7+D6</x:f>
        <x:v>0</x:v>
      </x:c>
      <x:c r="E8" s="13">
        <x:f>E7+E6</x:f>
        <x:v>0</x:v>
      </x:c>
      <x:c r="F8" s="14">
        <x:f>IFERROR((C8/D8)-1,"")</x:f>
      </x:c>
      <x:c r="G8" s="14">
        <x:f>IFERROR(C8/Input_PL_OCI!C16,"")</x:f>
      </x:c>
      <x:c r="H8" s="15" t="n"/>
    </x:row>
  </x:sheetData>
  <x:mergeCells>
    <x:mergeCell ref="A1:H1"/>
  </x:mergeCells>
  <x:pageMargins left="0.7" right="0.7" top="0.75" bottom="0.75" header="0.3" footer="0.3"/>
  <x:legacyDrawing xmlns:r="http://schemas.openxmlformats.org/officeDocument/2006/relationships" r:id="R7ed7b2f55ae140b8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54" customWidth="1"/>
    <x:col min="3" max="3" width="15" customWidth="1"/>
    <x:col min="4" max="4" width="15" customWidth="1"/>
    <x:col min="5" max="5" width="15" customWidth="1"/>
    <x:col min="6" max="6" width="12" customWidth="1"/>
    <x:col min="7" max="7" width="16" customWidth="1"/>
    <x:col min="8" max="8" width="18" customWidth="1"/>
    <x:col min="9" max="9" width="14" customWidth="1"/>
    <x:col min="10" max="10" width="22" customWidth="1"/>
  </x:cols>
  <x:sheetData>
    <x:row r="1">
      <x:c r="A1" s="1" t="inlineStr">
        <x:is>
          <x:t xml:space="preserve">INPUT DETAIL IFRS 17 / PSAK 117</x:t>
        </x:is>
      </x:c>
    </x:row>
    <x:row r="2">
      <x:c r="A2" s="4" t="inlineStr">
        <x:is>
          <x:t xml:space="preserve">Blok</x:t>
        </x:is>
      </x:c>
      <x:c r="B2" s="4" t="inlineStr">
        <x:is>
          <x:t xml:space="preserve">Metrik</x:t>
        </x:is>
      </x:c>
      <x:c r="C2" s="4" t="inlineStr">
        <x:is>
          <x:t xml:space="preserve">Tahun berjalan</x:t>
        </x:is>
      </x:c>
      <x:c r="D2" s="4" t="inlineStr">
        <x:is>
          <x:t xml:space="preserve">Pembanding 1</x:t>
        </x:is>
      </x:c>
      <x:c r="E2" s="4" t="inlineStr">
        <x:is>
          <x:t xml:space="preserve">Pembanding 2</x:t>
        </x:is>
      </x:c>
      <x:c r="F2" s="4" t="inlineStr">
        <x:is>
          <x:t xml:space="preserve">Growth vs PY</x:t>
        </x:is>
      </x:c>
      <x:c r="G2" s="4" t="inlineStr">
        <x:is>
          <x:t xml:space="preserve">Fokus / rasio</x:t>
        </x:is>
      </x:c>
      <x:c r="H2" s="4" t="inlineStr">
        <x:is>
          <x:t xml:space="preserve">Portofolio / kelompok</x:t>
        </x:is>
      </x:c>
      <x:c r="I2" s="4" t="inlineStr">
        <x:is>
          <x:t xml:space="preserve">Wajib / Opsional</x:t>
        </x:is>
      </x:c>
      <x:c r="J2" s="4" t="inlineStr">
        <x:is>
          <x:t xml:space="preserve">Catatan user</x:t>
        </x:is>
      </x:c>
    </x:row>
    <x:row r="3">
      <x:c r="A3" s="9" t="inlineStr">
        <x:is>
          <x:t xml:space="preserve">Hasil jasa</x:t>
        </x:is>
      </x:c>
      <x:c r="B3" s="9" t="inlineStr">
        <x:is>
          <x:t xml:space="preserve">Insurance revenue total</x:t>
        </x:is>
      </x:c>
      <x:c r="C3" s="16" t="inlineStr">
        <x:is>
          <x:t xml:space="preserve"/>
        </x:is>
      </x:c>
      <x:c r="D3" s="16" t="inlineStr">
        <x:is>
          <x:t xml:space="preserve"/>
        </x:is>
      </x:c>
      <x:c r="E3" s="16" t="inlineStr">
        <x:is>
          <x:t xml:space="preserve"/>
        </x:is>
      </x:c>
      <x:c r="F3" s="11">
        <x:f>IFERROR((C3/D3)-1,"")</x:f>
      </x:c>
      <x:c r="G3" s="17" t="inlineStr">
        <x:is>
          <x:t xml:space="preserve">Skala</x:t>
        </x:is>
      </x:c>
      <x:c r="H3" s="9" t="n"/>
      <x:c r="I3" s="9" t="inlineStr">
        <x:is>
          <x:t xml:space="preserve">Penting</x:t>
        </x:is>
      </x:c>
      <x:c r="J3" s="9" t="n"/>
    </x:row>
    <x:row r="4">
      <x:c r="A4" s="9" t="inlineStr">
        <x:is>
          <x:t xml:space="preserve">Hasil jasa</x:t>
        </x:is>
      </x:c>
      <x:c r="B4" s="9" t="inlineStr">
        <x:is>
          <x:t xml:space="preserve">Claims and benefits incurred</x:t>
        </x:is>
      </x:c>
      <x:c r="C4" s="16" t="inlineStr">
        <x:is>
          <x:t xml:space="preserve"/>
        </x:is>
      </x:c>
      <x:c r="D4" s="16" t="inlineStr">
        <x:is>
          <x:t xml:space="preserve"/>
        </x:is>
      </x:c>
      <x:c r="E4" s="16" t="inlineStr">
        <x:is>
          <x:t xml:space="preserve"/>
        </x:is>
      </x:c>
      <x:c r="F4" s="11">
        <x:f>IFERROR((C4/D4)-1,"")</x:f>
      </x:c>
      <x:c r="G4" s="17" t="inlineStr">
        <x:is>
          <x:t xml:space="preserve">Klaim</x:t>
        </x:is>
      </x:c>
      <x:c r="H4" s="9" t="n"/>
      <x:c r="I4" s="9" t="inlineStr">
        <x:is>
          <x:t xml:space="preserve">Penting</x:t>
        </x:is>
      </x:c>
      <x:c r="J4" s="9" t="n"/>
    </x:row>
    <x:row r="5">
      <x:c r="A5" s="9" t="inlineStr">
        <x:is>
          <x:t xml:space="preserve">Hasil jasa</x:t>
        </x:is>
      </x:c>
      <x:c r="B5" s="9" t="inlineStr">
        <x:is>
          <x:t xml:space="preserve">Acquisition cash flow amortisation / commissions in service expense</x:t>
        </x:is>
      </x:c>
      <x:c r="C5" s="16" t="inlineStr">
        <x:is>
          <x:t xml:space="preserve"/>
        </x:is>
      </x:c>
      <x:c r="D5" s="16" t="inlineStr">
        <x:is>
          <x:t xml:space="preserve"/>
        </x:is>
      </x:c>
      <x:c r="E5" s="16" t="inlineStr">
        <x:is>
          <x:t xml:space="preserve"/>
        </x:is>
      </x:c>
      <x:c r="F5" s="11">
        <x:f>IFERROR((C5/D5)-1,"")</x:f>
      </x:c>
      <x:c r="G5" s="17" t="inlineStr">
        <x:is>
          <x:t xml:space="preserve">Akuisisi</x:t>
        </x:is>
      </x:c>
      <x:c r="H5" s="9" t="n"/>
      <x:c r="I5" s="9" t="inlineStr">
        <x:is>
          <x:t xml:space="preserve">Opsional</x:t>
        </x:is>
      </x:c>
      <x:c r="J5" s="9" t="n"/>
    </x:row>
    <x:row r="6">
      <x:c r="A6" s="9" t="inlineStr">
        <x:is>
          <x:t xml:space="preserve">Hasil jasa</x:t>
        </x:is>
      </x:c>
      <x:c r="B6" s="9" t="inlineStr">
        <x:is>
          <x:t xml:space="preserve">Other directly attributable expenses</x:t>
        </x:is>
      </x:c>
      <x:c r="C6" s="16" t="inlineStr">
        <x:is>
          <x:t xml:space="preserve"/>
        </x:is>
      </x:c>
      <x:c r="D6" s="16" t="inlineStr">
        <x:is>
          <x:t xml:space="preserve"/>
        </x:is>
      </x:c>
      <x:c r="E6" s="16" t="inlineStr">
        <x:is>
          <x:t xml:space="preserve"/>
        </x:is>
      </x:c>
      <x:c r="F6" s="11">
        <x:f>IFERROR((C6/D6)-1,"")</x:f>
      </x:c>
      <x:c r="G6" s="17" t="inlineStr">
        <x:is>
          <x:t xml:space="preserve">Biaya</x:t>
        </x:is>
      </x:c>
      <x:c r="H6" s="9" t="n"/>
      <x:c r="I6" s="9" t="inlineStr">
        <x:is>
          <x:t xml:space="preserve">Opsional</x:t>
        </x:is>
      </x:c>
      <x:c r="J6" s="9" t="n"/>
    </x:row>
    <x:row r="7">
      <x:c r="A7" s="9" t="inlineStr">
        <x:is>
          <x:t xml:space="preserve">Hasil jasa</x:t>
        </x:is>
      </x:c>
      <x:c r="B7" s="9" t="inlineStr">
        <x:is>
          <x:t xml:space="preserve">Losses on onerous contracts and reversals</x:t>
        </x:is>
      </x:c>
      <x:c r="C7" s="16" t="inlineStr">
        <x:is>
          <x:t xml:space="preserve"/>
        </x:is>
      </x:c>
      <x:c r="D7" s="16" t="inlineStr">
        <x:is>
          <x:t xml:space="preserve"/>
        </x:is>
      </x:c>
      <x:c r="E7" s="16" t="inlineStr">
        <x:is>
          <x:t xml:space="preserve"/>
        </x:is>
      </x:c>
      <x:c r="F7" s="11">
        <x:f>IFERROR((C7/D7)-1,"")</x:f>
      </x:c>
      <x:c r="G7" s="17" t="inlineStr">
        <x:is>
          <x:t xml:space="preserve">Onerous</x:t>
        </x:is>
      </x:c>
      <x:c r="H7" s="9" t="n"/>
      <x:c r="I7" s="9" t="inlineStr">
        <x:is>
          <x:t xml:space="preserve">Opsional</x:t>
        </x:is>
      </x:c>
      <x:c r="J7" s="9" t="n"/>
    </x:row>
    <x:row r="8">
      <x:c r="A8" s="9" t="inlineStr">
        <x:is>
          <x:t xml:space="preserve">Reasuransi</x:t>
        </x:is>
      </x:c>
      <x:c r="B8" s="9" t="inlineStr">
        <x:is>
          <x:t xml:space="preserve">Net expense/(income) from reinsurance contracts held</x:t>
        </x:is>
      </x:c>
      <x:c r="C8" s="16" t="inlineStr">
        <x:is>
          <x:t xml:space="preserve"/>
        </x:is>
      </x:c>
      <x:c r="D8" s="16" t="inlineStr">
        <x:is>
          <x:t xml:space="preserve"/>
        </x:is>
      </x:c>
      <x:c r="E8" s="16" t="inlineStr">
        <x:is>
          <x:t xml:space="preserve"/>
        </x:is>
      </x:c>
      <x:c r="F8" s="11">
        <x:f>IFERROR((C8/D8)-1,"")</x:f>
      </x:c>
      <x:c r="G8" s="17" t="inlineStr">
        <x:is>
          <x:t xml:space="preserve">Proteksi</x:t>
        </x:is>
      </x:c>
      <x:c r="H8" s="9" t="n"/>
      <x:c r="I8" s="9" t="inlineStr">
        <x:is>
          <x:t xml:space="preserve">Penting</x:t>
        </x:is>
      </x:c>
      <x:c r="J8" s="9" t="n"/>
    </x:row>
    <x:row r="9">
      <x:c r="A9" s="12" t="inlineStr">
        <x:is>
          <x:t xml:space="preserve">Hasil jasa</x:t>
        </x:is>
      </x:c>
      <x:c r="B9" s="12" t="inlineStr">
        <x:is>
          <x:t xml:space="preserve">INSURANCE SERVICE RESULT</x:t>
        </x:is>
      </x:c>
      <x:c r="C9" s="13">
        <x:f>SUM(C3:C7)+C8</x:f>
        <x:v>0</x:v>
      </x:c>
      <x:c r="D9" s="13">
        <x:f>SUM(D3:D7)+D8</x:f>
        <x:v>0</x:v>
      </x:c>
      <x:c r="E9" s="13">
        <x:f>SUM(E3:E7)+E8</x:f>
        <x:v>0</x:v>
      </x:c>
      <x:c r="F9" s="14">
        <x:f>IFERROR((C9/D9)-1,"")</x:f>
      </x:c>
      <x:c r="G9" s="13" t="inlineStr">
        <x:is>
          <x:t xml:space="preserve">Margin</x:t>
        </x:is>
      </x:c>
      <x:c r="H9" s="15" t="n"/>
      <x:c r="I9" s="15" t="inlineStr">
        <x:is>
          <x:t xml:space="preserve">Formula</x:t>
        </x:is>
      </x:c>
      <x:c r="J9" s="15" t="n"/>
    </x:row>
    <x:row r="10">
      <x:c r="A10" s="9" t="inlineStr">
        <x:is>
          <x:t xml:space="preserve">Keuangan</x:t>
        </x:is>
      </x:c>
      <x:c r="B10" s="9" t="inlineStr">
        <x:is>
          <x:t xml:space="preserve">Insurance finance income/(expense) - contracts issued</x:t>
        </x:is>
      </x:c>
      <x:c r="C10" s="16" t="inlineStr">
        <x:is>
          <x:t xml:space="preserve"/>
        </x:is>
      </x:c>
      <x:c r="D10" s="16" t="inlineStr">
        <x:is>
          <x:t xml:space="preserve"/>
        </x:is>
      </x:c>
      <x:c r="E10" s="16" t="inlineStr">
        <x:is>
          <x:t xml:space="preserve"/>
        </x:is>
      </x:c>
      <x:c r="F10" s="11">
        <x:f>IFERROR((C10/D10)-1,"")</x:f>
      </x:c>
      <x:c r="G10" s="17" t="inlineStr">
        <x:is>
          <x:t xml:space="preserve">Volatilitas</x:t>
        </x:is>
      </x:c>
      <x:c r="H10" s="9" t="n"/>
      <x:c r="I10" s="9" t="inlineStr">
        <x:is>
          <x:t xml:space="preserve">Opsional</x:t>
        </x:is>
      </x:c>
      <x:c r="J10" s="9" t="n"/>
    </x:row>
    <x:row r="11">
      <x:c r="A11" s="9" t="inlineStr">
        <x:is>
          <x:t xml:space="preserve">Keuangan</x:t>
        </x:is>
      </x:c>
      <x:c r="B11" s="9" t="inlineStr">
        <x:is>
          <x:t xml:space="preserve">Insurance finance income/(expense) - reinsurance held</x:t>
        </x:is>
      </x:c>
      <x:c r="C11" s="16" t="inlineStr">
        <x:is>
          <x:t xml:space="preserve"/>
        </x:is>
      </x:c>
      <x:c r="D11" s="16" t="inlineStr">
        <x:is>
          <x:t xml:space="preserve"/>
        </x:is>
      </x:c>
      <x:c r="E11" s="16" t="inlineStr">
        <x:is>
          <x:t xml:space="preserve"/>
        </x:is>
      </x:c>
      <x:c r="F11" s="11">
        <x:f>IFERROR((C11/D11)-1,"")</x:f>
      </x:c>
      <x:c r="G11" s="17" t="inlineStr">
        <x:is>
          <x:t xml:space="preserve">Offset</x:t>
        </x:is>
      </x:c>
      <x:c r="H11" s="9" t="n"/>
      <x:c r="I11" s="9" t="inlineStr">
        <x:is>
          <x:t xml:space="preserve">Opsional</x:t>
        </x:is>
      </x:c>
      <x:c r="J11" s="9" t="n"/>
    </x:row>
    <x:row r="12">
      <x:c r="A12" s="12" t="inlineStr">
        <x:is>
          <x:t xml:space="preserve">Keuangan</x:t>
        </x:is>
      </x:c>
      <x:c r="B12" s="12" t="inlineStr">
        <x:is>
          <x:t xml:space="preserve">INSURANCE RESULT AFTER FINANCE</x:t>
        </x:is>
      </x:c>
      <x:c r="C12" s="13">
        <x:f>C9+SUM(C10:C11)</x:f>
        <x:v>0</x:v>
      </x:c>
      <x:c r="D12" s="13">
        <x:f>D9+SUM(D10:D11)</x:f>
        <x:v>0</x:v>
      </x:c>
      <x:c r="E12" s="13">
        <x:f>E9+SUM(E10:E11)</x:f>
        <x:v>0</x:v>
      </x:c>
      <x:c r="F12" s="14">
        <x:f>IFERROR((C12/D12)-1,"")</x:f>
      </x:c>
      <x:c r="G12" s="13" t="inlineStr">
        <x:is>
          <x:t xml:space="preserve">Result</x:t>
        </x:is>
      </x:c>
      <x:c r="H12" s="15" t="n"/>
      <x:c r="I12" s="15" t="inlineStr">
        <x:is>
          <x:t xml:space="preserve">Formula</x:t>
        </x:is>
      </x:c>
      <x:c r="J12" s="15" t="n"/>
    </x:row>
    <x:row r="13">
      <x:c r="A13" s="9" t="inlineStr">
        <x:is>
          <x:t xml:space="preserve">Posisi keuangan</x:t>
        </x:is>
      </x:c>
      <x:c r="B13" s="9" t="inlineStr">
        <x:is>
          <x:t xml:space="preserve">Insurance contract liabilities</x:t>
        </x:is>
      </x:c>
      <x:c r="C13" s="16" t="inlineStr">
        <x:is>
          <x:t xml:space="preserve"/>
        </x:is>
      </x:c>
      <x:c r="D13" s="16" t="inlineStr">
        <x:is>
          <x:t xml:space="preserve"/>
        </x:is>
      </x:c>
      <x:c r="E13" s="16" t="inlineStr">
        <x:is>
          <x:t xml:space="preserve"/>
        </x:is>
      </x:c>
      <x:c r="F13" s="11">
        <x:f>IFERROR((C13/D13)-1,"")</x:f>
      </x:c>
      <x:c r="G13" s="17" t="inlineStr">
        <x:is>
          <x:t xml:space="preserve">Kewajiban</x:t>
        </x:is>
      </x:c>
      <x:c r="H13" s="9" t="n"/>
      <x:c r="I13" s="9" t="inlineStr">
        <x:is>
          <x:t xml:space="preserve">Penting</x:t>
        </x:is>
      </x:c>
      <x:c r="J13" s="9" t="n"/>
    </x:row>
    <x:row r="14">
      <x:c r="A14" s="9" t="inlineStr">
        <x:is>
          <x:t xml:space="preserve">Posisi keuangan</x:t>
        </x:is>
      </x:c>
      <x:c r="B14" s="9" t="inlineStr">
        <x:is>
          <x:t xml:space="preserve">Reinsurance contract assets</x:t>
        </x:is>
      </x:c>
      <x:c r="C14" s="16" t="inlineStr">
        <x:is>
          <x:t xml:space="preserve"/>
        </x:is>
      </x:c>
      <x:c r="D14" s="16" t="inlineStr">
        <x:is>
          <x:t xml:space="preserve"/>
        </x:is>
      </x:c>
      <x:c r="E14" s="16" t="inlineStr">
        <x:is>
          <x:t xml:space="preserve"/>
        </x:is>
      </x:c>
      <x:c r="F14" s="11">
        <x:f>IFERROR((C14/D14)-1,"")</x:f>
      </x:c>
      <x:c r="G14" s="17" t="inlineStr">
        <x:is>
          <x:t xml:space="preserve">Aset</x:t>
        </x:is>
      </x:c>
      <x:c r="H14" s="9" t="n"/>
      <x:c r="I14" s="9" t="inlineStr">
        <x:is>
          <x:t xml:space="preserve">Penting</x:t>
        </x:is>
      </x:c>
      <x:c r="J14" s="9" t="n"/>
    </x:row>
    <x:row r="15">
      <x:c r="A15" s="9" t="inlineStr">
        <x:is>
          <x:t xml:space="preserve">Posisi keuangan</x:t>
        </x:is>
      </x:c>
      <x:c r="B15" s="9" t="inlineStr">
        <x:is>
          <x:t xml:space="preserve">Reinsurance contract liabilities</x:t>
        </x:is>
      </x:c>
      <x:c r="C15" s="16" t="inlineStr">
        <x:is>
          <x:t xml:space="preserve"/>
        </x:is>
      </x:c>
      <x:c r="D15" s="16" t="inlineStr">
        <x:is>
          <x:t xml:space="preserve"/>
        </x:is>
      </x:c>
      <x:c r="E15" s="16" t="inlineStr">
        <x:is>
          <x:t xml:space="preserve"/>
        </x:is>
      </x:c>
      <x:c r="F15" s="11">
        <x:f>IFERROR((C15/D15)-1,"")</x:f>
      </x:c>
      <x:c r="G15" s="17" t="inlineStr">
        <x:is>
          <x:t xml:space="preserve">Liabilitas</x:t>
        </x:is>
      </x:c>
      <x:c r="H15" s="9" t="n"/>
      <x:c r="I15" s="9" t="inlineStr">
        <x:is>
          <x:t xml:space="preserve">Opsional</x:t>
        </x:is>
      </x:c>
      <x:c r="J15" s="9" t="n"/>
    </x:row>
    <x:row r="16">
      <x:c r="A16" s="9" t="inlineStr">
        <x:is>
          <x:t xml:space="preserve">Posisi keuangan</x:t>
        </x:is>
      </x:c>
      <x:c r="B16" s="9" t="inlineStr">
        <x:is>
          <x:t xml:space="preserve">Liability for remaining coverage (LRC) excl. loss component</x:t>
        </x:is>
      </x:c>
      <x:c r="C16" s="16" t="inlineStr">
        <x:is>
          <x:t xml:space="preserve"/>
        </x:is>
      </x:c>
      <x:c r="D16" s="16" t="inlineStr">
        <x:is>
          <x:t xml:space="preserve"/>
        </x:is>
      </x:c>
      <x:c r="E16" s="16" t="inlineStr">
        <x:is>
          <x:t xml:space="preserve"/>
        </x:is>
      </x:c>
      <x:c r="F16" s="11">
        <x:f>IFERROR((C16/D16)-1,"")</x:f>
      </x:c>
      <x:c r="G16" s="17" t="inlineStr">
        <x:is>
          <x:t xml:space="preserve">LRC</x:t>
        </x:is>
      </x:c>
      <x:c r="H16" s="9" t="n"/>
      <x:c r="I16" s="9" t="inlineStr">
        <x:is>
          <x:t xml:space="preserve">Opsional</x:t>
        </x:is>
      </x:c>
      <x:c r="J16" s="9" t="n"/>
    </x:row>
    <x:row r="17">
      <x:c r="A17" s="9" t="inlineStr">
        <x:is>
          <x:t xml:space="preserve">Posisi keuangan</x:t>
        </x:is>
      </x:c>
      <x:c r="B17" s="9" t="inlineStr">
        <x:is>
          <x:t xml:space="preserve">Liability for incurred claims (LIC)</x:t>
        </x:is>
      </x:c>
      <x:c r="C17" s="16" t="inlineStr">
        <x:is>
          <x:t xml:space="preserve"/>
        </x:is>
      </x:c>
      <x:c r="D17" s="16" t="inlineStr">
        <x:is>
          <x:t xml:space="preserve"/>
        </x:is>
      </x:c>
      <x:c r="E17" s="16" t="inlineStr">
        <x:is>
          <x:t xml:space="preserve"/>
        </x:is>
      </x:c>
      <x:c r="F17" s="11">
        <x:f>IFERROR((C17/D17)-1,"")</x:f>
      </x:c>
      <x:c r="G17" s="17" t="inlineStr">
        <x:is>
          <x:t xml:space="preserve">LIC</x:t>
        </x:is>
      </x:c>
      <x:c r="H17" s="9" t="n"/>
      <x:c r="I17" s="9" t="inlineStr">
        <x:is>
          <x:t xml:space="preserve">Opsional</x:t>
        </x:is>
      </x:c>
      <x:c r="J17" s="9" t="n"/>
    </x:row>
    <x:row r="18">
      <x:c r="A18" s="9" t="inlineStr">
        <x:is>
          <x:t xml:space="preserve">Posisi keuangan</x:t>
        </x:is>
      </x:c>
      <x:c r="B18" s="9" t="inlineStr">
        <x:is>
          <x:t xml:space="preserve">Loss component</x:t>
        </x:is>
      </x:c>
      <x:c r="C18" s="16" t="inlineStr">
        <x:is>
          <x:t xml:space="preserve"/>
        </x:is>
      </x:c>
      <x:c r="D18" s="16" t="inlineStr">
        <x:is>
          <x:t xml:space="preserve"/>
        </x:is>
      </x:c>
      <x:c r="E18" s="16" t="inlineStr">
        <x:is>
          <x:t xml:space="preserve"/>
        </x:is>
      </x:c>
      <x:c r="F18" s="11">
        <x:f>IFERROR((C18/D18)-1,"")</x:f>
      </x:c>
      <x:c r="G18" s="17" t="inlineStr">
        <x:is>
          <x:t xml:space="preserve">Onerous</x:t>
        </x:is>
      </x:c>
      <x:c r="H18" s="9" t="n"/>
      <x:c r="I18" s="9" t="inlineStr">
        <x:is>
          <x:t xml:space="preserve">Opsional</x:t>
        </x:is>
      </x:c>
      <x:c r="J18" s="9" t="n"/>
    </x:row>
    <x:row r="19">
      <x:c r="A19" s="9" t="inlineStr">
        <x:is>
          <x:t xml:space="preserve">Posisi keuangan</x:t>
        </x:is>
      </x:c>
      <x:c r="B19" s="9" t="inlineStr">
        <x:is>
          <x:t xml:space="preserve">Risk adjustment for non-financial risk</x:t>
        </x:is>
      </x:c>
      <x:c r="C19" s="16" t="inlineStr">
        <x:is>
          <x:t xml:space="preserve"/>
        </x:is>
      </x:c>
      <x:c r="D19" s="16" t="inlineStr">
        <x:is>
          <x:t xml:space="preserve"/>
        </x:is>
      </x:c>
      <x:c r="E19" s="16" t="inlineStr">
        <x:is>
          <x:t xml:space="preserve"/>
        </x:is>
      </x:c>
      <x:c r="F19" s="11">
        <x:f>IFERROR((C19/D19)-1,"")</x:f>
      </x:c>
      <x:c r="G19" s="17" t="inlineStr">
        <x:is>
          <x:t xml:space="preserve">RA</x:t>
        </x:is>
      </x:c>
      <x:c r="H19" s="9" t="n"/>
      <x:c r="I19" s="9" t="inlineStr">
        <x:is>
          <x:t xml:space="preserve">Penting</x:t>
        </x:is>
      </x:c>
      <x:c r="J19" s="9" t="n"/>
    </x:row>
    <x:row r="20">
      <x:c r="A20" s="9" t="inlineStr">
        <x:is>
          <x:t xml:space="preserve">CSM</x:t>
        </x:is>
      </x:c>
      <x:c r="B20" s="9" t="inlineStr">
        <x:is>
          <x:t xml:space="preserve">Opening CSM</x:t>
        </x:is>
      </x:c>
      <x:c r="C20" s="16" t="inlineStr">
        <x:is>
          <x:t xml:space="preserve"/>
        </x:is>
      </x:c>
      <x:c r="D20" s="16" t="inlineStr">
        <x:is>
          <x:t xml:space="preserve"/>
        </x:is>
      </x:c>
      <x:c r="E20" s="16" t="inlineStr">
        <x:is>
          <x:t xml:space="preserve"/>
        </x:is>
      </x:c>
      <x:c r="F20" s="11">
        <x:f>IFERROR((C20/D20)-1,"")</x:f>
      </x:c>
      <x:c r="G20" s="17" t="inlineStr">
        <x:is>
          <x:t xml:space="preserve">CSM</x:t>
        </x:is>
      </x:c>
      <x:c r="H20" s="9" t="n"/>
      <x:c r="I20" s="9" t="inlineStr">
        <x:is>
          <x:t xml:space="preserve">Penting</x:t>
        </x:is>
      </x:c>
      <x:c r="J20" s="9" t="n"/>
    </x:row>
    <x:row r="21">
      <x:c r="A21" s="9" t="inlineStr">
        <x:is>
          <x:t xml:space="preserve">CSM</x:t>
        </x:is>
      </x:c>
      <x:c r="B21" s="9" t="inlineStr">
        <x:is>
          <x:t xml:space="preserve">New business / contracts issued</x:t>
        </x:is>
      </x:c>
      <x:c r="C21" s="16" t="inlineStr">
        <x:is>
          <x:t xml:space="preserve"/>
        </x:is>
      </x:c>
      <x:c r="D21" s="16" t="inlineStr">
        <x:is>
          <x:t xml:space="preserve"/>
        </x:is>
      </x:c>
      <x:c r="E21" s="16" t="inlineStr">
        <x:is>
          <x:t xml:space="preserve"/>
        </x:is>
      </x:c>
      <x:c r="F21" s="11">
        <x:f>IFERROR((C21/D21)-1,"")</x:f>
      </x:c>
      <x:c r="G21" s="17" t="inlineStr">
        <x:is>
          <x:t xml:space="preserve">CSM</x:t>
        </x:is>
      </x:c>
      <x:c r="H21" s="9" t="n"/>
      <x:c r="I21" s="9" t="inlineStr">
        <x:is>
          <x:t xml:space="preserve">Opsional</x:t>
        </x:is>
      </x:c>
      <x:c r="J21" s="9" t="n"/>
    </x:row>
    <x:row r="22">
      <x:c r="A22" s="9" t="inlineStr">
        <x:is>
          <x:t xml:space="preserve">CSM</x:t>
        </x:is>
      </x:c>
      <x:c r="B22" s="9" t="inlineStr">
        <x:is>
          <x:t xml:space="preserve">Interest accretion on CSM</x:t>
        </x:is>
      </x:c>
      <x:c r="C22" s="16" t="inlineStr">
        <x:is>
          <x:t xml:space="preserve"/>
        </x:is>
      </x:c>
      <x:c r="D22" s="16" t="inlineStr">
        <x:is>
          <x:t xml:space="preserve"/>
        </x:is>
      </x:c>
      <x:c r="E22" s="16" t="inlineStr">
        <x:is>
          <x:t xml:space="preserve"/>
        </x:is>
      </x:c>
      <x:c r="F22" s="11">
        <x:f>IFERROR((C22/D22)-1,"")</x:f>
      </x:c>
      <x:c r="G22" s="17" t="inlineStr">
        <x:is>
          <x:t xml:space="preserve">CSM</x:t>
        </x:is>
      </x:c>
      <x:c r="H22" s="9" t="n"/>
      <x:c r="I22" s="9" t="inlineStr">
        <x:is>
          <x:t xml:space="preserve">Opsional</x:t>
        </x:is>
      </x:c>
      <x:c r="J22" s="9" t="n"/>
    </x:row>
    <x:row r="23">
      <x:c r="A23" s="9" t="inlineStr">
        <x:is>
          <x:t xml:space="preserve">CSM</x:t>
        </x:is>
      </x:c>
      <x:c r="B23" s="9" t="inlineStr">
        <x:is>
          <x:t xml:space="preserve">Changes related to future service</x:t>
        </x:is>
      </x:c>
      <x:c r="C23" s="16" t="inlineStr">
        <x:is>
          <x:t xml:space="preserve"/>
        </x:is>
      </x:c>
      <x:c r="D23" s="16" t="inlineStr">
        <x:is>
          <x:t xml:space="preserve"/>
        </x:is>
      </x:c>
      <x:c r="E23" s="16" t="inlineStr">
        <x:is>
          <x:t xml:space="preserve"/>
        </x:is>
      </x:c>
      <x:c r="F23" s="11">
        <x:f>IFERROR((C23/D23)-1,"")</x:f>
      </x:c>
      <x:c r="G23" s="17" t="inlineStr">
        <x:is>
          <x:t xml:space="preserve">CSM</x:t>
        </x:is>
      </x:c>
      <x:c r="H23" s="9" t="n"/>
      <x:c r="I23" s="9" t="inlineStr">
        <x:is>
          <x:t xml:space="preserve">Opsional</x:t>
        </x:is>
      </x:c>
      <x:c r="J23" s="9" t="n"/>
    </x:row>
    <x:row r="24">
      <x:c r="A24" s="9" t="inlineStr">
        <x:is>
          <x:t xml:space="preserve">CSM</x:t>
        </x:is>
      </x:c>
      <x:c r="B24" s="9" t="inlineStr">
        <x:is>
          <x:t xml:space="preserve">CSM recognised for services provided</x:t>
        </x:is>
      </x:c>
      <x:c r="C24" s="16" t="inlineStr">
        <x:is>
          <x:t xml:space="preserve"/>
        </x:is>
      </x:c>
      <x:c r="D24" s="16" t="inlineStr">
        <x:is>
          <x:t xml:space="preserve"/>
        </x:is>
      </x:c>
      <x:c r="E24" s="16" t="inlineStr">
        <x:is>
          <x:t xml:space="preserve"/>
        </x:is>
      </x:c>
      <x:c r="F24" s="11">
        <x:f>IFERROR((C24/D24)-1,"")</x:f>
      </x:c>
      <x:c r="G24" s="17" t="inlineStr">
        <x:is>
          <x:t xml:space="preserve">CSM release</x:t>
        </x:is>
      </x:c>
      <x:c r="H24" s="9" t="n"/>
      <x:c r="I24" s="9" t="inlineStr">
        <x:is>
          <x:t xml:space="preserve">Opsional</x:t>
        </x:is>
      </x:c>
      <x:c r="J24" s="9" t="n"/>
    </x:row>
    <x:row r="25">
      <x:c r="A25" s="9" t="inlineStr">
        <x:is>
          <x:t xml:space="preserve">CSM</x:t>
        </x:is>
      </x:c>
      <x:c r="B25" s="9" t="inlineStr">
        <x:is>
          <x:t xml:space="preserve">FX and other movements</x:t>
        </x:is>
      </x:c>
      <x:c r="C25" s="16" t="inlineStr">
        <x:is>
          <x:t xml:space="preserve"/>
        </x:is>
      </x:c>
      <x:c r="D25" s="16" t="inlineStr">
        <x:is>
          <x:t xml:space="preserve"/>
        </x:is>
      </x:c>
      <x:c r="E25" s="16" t="inlineStr">
        <x:is>
          <x:t xml:space="preserve"/>
        </x:is>
      </x:c>
      <x:c r="F25" s="11">
        <x:f>IFERROR((C25/D25)-1,"")</x:f>
      </x:c>
      <x:c r="G25" s="17" t="inlineStr">
        <x:is>
          <x:t xml:space="preserve">Lainnya</x:t>
        </x:is>
      </x:c>
      <x:c r="H25" s="9" t="n"/>
      <x:c r="I25" s="9" t="inlineStr">
        <x:is>
          <x:t xml:space="preserve">Opsional</x:t>
        </x:is>
      </x:c>
      <x:c r="J25" s="9" t="n"/>
    </x:row>
    <x:row r="26">
      <x:c r="A26" s="12" t="inlineStr">
        <x:is>
          <x:t xml:space="preserve">CSM</x:t>
        </x:is>
      </x:c>
      <x:c r="B26" s="12" t="inlineStr">
        <x:is>
          <x:t xml:space="preserve">CLOSING CSM</x:t>
        </x:is>
      </x:c>
      <x:c r="C26" s="13">
        <x:f>SUM(C20:C25)</x:f>
        <x:v>0</x:v>
      </x:c>
      <x:c r="D26" s="13">
        <x:f>SUM(D20:D25)</x:f>
        <x:v>0</x:v>
      </x:c>
      <x:c r="E26" s="13">
        <x:f>SUM(E20:E25)</x:f>
        <x:v>0</x:v>
      </x:c>
      <x:c r="F26" s="14">
        <x:f>IFERROR((C26/D26)-1,"")</x:f>
      </x:c>
      <x:c r="G26" s="13" t="inlineStr">
        <x:is>
          <x:t xml:space="preserve">CSM</x:t>
        </x:is>
      </x:c>
      <x:c r="H26" s="15" t="n"/>
      <x:c r="I26" s="15" t="inlineStr">
        <x:is>
          <x:t xml:space="preserve">Formula</x:t>
        </x:is>
      </x:c>
      <x:c r="J26" s="15" t="n"/>
    </x:row>
    <x:row r="27">
      <x:c r="A27" s="9" t="inlineStr">
        <x:is>
          <x:t xml:space="preserve">Operasional</x:t>
        </x:is>
      </x:c>
      <x:c r="B27" s="9" t="inlineStr">
        <x:is>
          <x:t xml:space="preserve">Insurance acquisition cash flow asset</x:t>
        </x:is>
      </x:c>
      <x:c r="C27" s="16" t="inlineStr">
        <x:is>
          <x:t xml:space="preserve"/>
        </x:is>
      </x:c>
      <x:c r="D27" s="16" t="inlineStr">
        <x:is>
          <x:t xml:space="preserve"/>
        </x:is>
      </x:c>
      <x:c r="E27" s="16" t="inlineStr">
        <x:is>
          <x:t xml:space="preserve"/>
        </x:is>
      </x:c>
      <x:c r="F27" s="11">
        <x:f>IFERROR((C27/D27)-1,"")</x:f>
      </x:c>
      <x:c r="G27" s="17" t="inlineStr">
        <x:is>
          <x:t xml:space="preserve">Asset</x:t>
        </x:is>
      </x:c>
      <x:c r="H27" s="9" t="n"/>
      <x:c r="I27" s="9" t="inlineStr">
        <x:is>
          <x:t xml:space="preserve">Opsional</x:t>
        </x:is>
      </x:c>
      <x:c r="J27" s="9" t="n"/>
    </x:row>
    <x:row r="28">
      <x:c r="A28" s="9" t="inlineStr">
        <x:is>
          <x:t xml:space="preserve">Operasional</x:t>
        </x:is>
      </x:c>
      <x:c r="B28" s="9" t="inlineStr">
        <x:is>
          <x:t xml:space="preserve">Policies in force / coverage units</x:t>
        </x:is>
      </x:c>
      <x:c r="C28" s="16" t="inlineStr">
        <x:is>
          <x:t xml:space="preserve"/>
        </x:is>
      </x:c>
      <x:c r="D28" s="16" t="inlineStr">
        <x:is>
          <x:t xml:space="preserve"/>
        </x:is>
      </x:c>
      <x:c r="E28" s="16" t="inlineStr">
        <x:is>
          <x:t xml:space="preserve"/>
        </x:is>
      </x:c>
      <x:c r="F28" s="11">
        <x:f>IFERROR((C28/D28)-1,"")</x:f>
      </x:c>
      <x:c r="G28" s="17" t="inlineStr">
        <x:is>
          <x:t xml:space="preserve">Volume</x:t>
        </x:is>
      </x:c>
      <x:c r="H28" s="9" t="n"/>
      <x:c r="I28" s="9" t="inlineStr">
        <x:is>
          <x:t xml:space="preserve">Opsional</x:t>
        </x:is>
      </x:c>
      <x:c r="J28" s="9" t="n"/>
    </x:row>
    <x:row r="29">
      <x:c r="A29" s="9" t="inlineStr">
        <x:is>
          <x:t xml:space="preserve">Operasional</x:t>
        </x:is>
      </x:c>
      <x:c r="B29" s="9" t="inlineStr">
        <x:is>
          <x:t xml:space="preserve">New business APE / new premiums</x:t>
        </x:is>
      </x:c>
      <x:c r="C29" s="16" t="inlineStr">
        <x:is>
          <x:t xml:space="preserve"/>
        </x:is>
      </x:c>
      <x:c r="D29" s="16" t="inlineStr">
        <x:is>
          <x:t xml:space="preserve"/>
        </x:is>
      </x:c>
      <x:c r="E29" s="16" t="inlineStr">
        <x:is>
          <x:t xml:space="preserve"/>
        </x:is>
      </x:c>
      <x:c r="F29" s="11">
        <x:f>IFERROR((C29/D29)-1,"")</x:f>
      </x:c>
      <x:c r="G29" s="17" t="inlineStr">
        <x:is>
          <x:t xml:space="preserve">NB</x:t>
        </x:is>
      </x:c>
      <x:c r="H29" s="9" t="n"/>
      <x:c r="I29" s="9" t="inlineStr">
        <x:is>
          <x:t xml:space="preserve">Opsional</x:t>
        </x:is>
      </x:c>
      <x:c r="J29" s="9" t="n"/>
    </x:row>
    <x:row r="30">
      <x:c r="A30" s="9" t="inlineStr">
        <x:is>
          <x:t xml:space="preserve">Operasional</x:t>
        </x:is>
      </x:c>
      <x:c r="B30" s="9" t="inlineStr">
        <x:is>
          <x:t xml:space="preserve">Claim ratio (if disclosed)</x:t>
        </x:is>
      </x:c>
      <x:c r="C30" s="18" t="inlineStr">
        <x:is>
          <x:t xml:space="preserve"/>
        </x:is>
      </x:c>
      <x:c r="D30" s="18" t="inlineStr">
        <x:is>
          <x:t xml:space="preserve"/>
        </x:is>
      </x:c>
      <x:c r="E30" s="18" t="inlineStr">
        <x:is>
          <x:t xml:space="preserve"/>
        </x:is>
      </x:c>
      <x:c r="F30" s="11">
        <x:f>IFERROR((C30/D30)-1,"")</x:f>
      </x:c>
      <x:c r="G30" s="17" t="inlineStr">
        <x:is>
          <x:t xml:space="preserve">Rasio</x:t>
        </x:is>
      </x:c>
      <x:c r="H30" s="9" t="n"/>
      <x:c r="I30" s="9" t="inlineStr">
        <x:is>
          <x:t xml:space="preserve">Opsional</x:t>
        </x:is>
      </x:c>
      <x:c r="J30" s="9" t="n"/>
    </x:row>
    <x:row r="31">
      <x:c r="A31" s="9" t="inlineStr">
        <x:is>
          <x:t xml:space="preserve">Operasional</x:t>
        </x:is>
      </x:c>
      <x:c r="B31" s="9" t="inlineStr">
        <x:is>
          <x:t xml:space="preserve">Reinsurance cession ratio (if disclosed)</x:t>
        </x:is>
      </x:c>
      <x:c r="C31" s="18" t="inlineStr">
        <x:is>
          <x:t xml:space="preserve"/>
        </x:is>
      </x:c>
      <x:c r="D31" s="18" t="inlineStr">
        <x:is>
          <x:t xml:space="preserve"/>
        </x:is>
      </x:c>
      <x:c r="E31" s="18" t="inlineStr">
        <x:is>
          <x:t xml:space="preserve"/>
        </x:is>
      </x:c>
      <x:c r="F31" s="11">
        <x:f>IFERROR((C31/D31)-1,"")</x:f>
      </x:c>
      <x:c r="G31" s="17" t="inlineStr">
        <x:is>
          <x:t xml:space="preserve">Rasio</x:t>
        </x:is>
      </x:c>
      <x:c r="H31" s="9" t="n"/>
      <x:c r="I31" s="9" t="inlineStr">
        <x:is>
          <x:t xml:space="preserve">Opsional</x:t>
        </x:is>
      </x:c>
      <x:c r="J31" s="9" t="n"/>
    </x:row>
    <x:row r="32">
      <x:c r="A32" s="9" t="inlineStr">
        <x:is>
          <x:t xml:space="preserve">Operasional</x:t>
        </x:is>
      </x:c>
      <x:c r="B32" s="9" t="inlineStr">
        <x:is>
          <x:t xml:space="preserve">Discount rate / locked-in rate (avg)</x:t>
        </x:is>
      </x:c>
      <x:c r="C32" s="18" t="inlineStr">
        <x:is>
          <x:t xml:space="preserve"/>
        </x:is>
      </x:c>
      <x:c r="D32" s="18" t="inlineStr">
        <x:is>
          <x:t xml:space="preserve"/>
        </x:is>
      </x:c>
      <x:c r="E32" s="18" t="inlineStr">
        <x:is>
          <x:t xml:space="preserve"/>
        </x:is>
      </x:c>
      <x:c r="F32" s="11">
        <x:f>IFERROR((C32/D32)-1,"")</x:f>
      </x:c>
      <x:c r="G32" s="17" t="inlineStr">
        <x:is>
          <x:t xml:space="preserve">Rate</x:t>
        </x:is>
      </x:c>
      <x:c r="H32" s="9" t="n"/>
      <x:c r="I32" s="9" t="inlineStr">
        <x:is>
          <x:t xml:space="preserve">Opsional</x:t>
        </x:is>
      </x:c>
      <x:c r="J32" s="9" t="n"/>
    </x:row>
  </x:sheetData>
  <x:mergeCells>
    <x:mergeCell ref="A1:J1"/>
  </x:mergeCells>
  <x:pageMargins left="0.7" right="0.7" top="0.75" bottom="0.75" header="0.3" footer="0.3"/>
  <x:legacyDrawing xmlns:r="http://schemas.openxmlformats.org/officeDocument/2006/relationships" r:id="R917948989c0644b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46" customWidth="1"/>
    <x:col min="3" max="3" width="15" customWidth="1"/>
    <x:col min="4" max="4" width="15" customWidth="1"/>
    <x:col min="5" max="5" width="15" customWidth="1"/>
    <x:col min="6" max="6" width="12" customWidth="1"/>
    <x:col min="7" max="7" width="12" customWidth="1"/>
    <x:col min="8" max="8" width="10" customWidth="1"/>
    <x:col min="9" max="9" width="14" customWidth="1"/>
    <x:col min="10" max="10" width="22" customWidth="1"/>
    <x:col min="11" max="11" width="14" customWidth="1"/>
  </x:cols>
  <x:sheetData>
    <x:row r="1">
      <x:c r="A1" s="1" t="inlineStr">
        <x:is>
          <x:t xml:space="preserve">INPUT DETAIL IFRS 9 / PSAK 109</x:t>
        </x:is>
      </x:c>
    </x:row>
    <x:row r="2">
      <x:c r="A2" s="4" t="inlineStr">
        <x:is>
          <x:t xml:space="preserve">Blok</x:t>
        </x:is>
      </x:c>
      <x:c r="B2" s="4" t="inlineStr">
        <x:is>
          <x:t xml:space="preserve">Metrik</x:t>
        </x:is>
      </x:c>
      <x:c r="C2" s="4" t="inlineStr">
        <x:is>
          <x:t xml:space="preserve">Tahun berjalan</x:t>
        </x:is>
      </x:c>
      <x:c r="D2" s="4" t="inlineStr">
        <x:is>
          <x:t xml:space="preserve">Pembanding 1</x:t>
        </x:is>
      </x:c>
      <x:c r="E2" s="4" t="inlineStr">
        <x:is>
          <x:t xml:space="preserve">Pembanding 2</x:t>
        </x:is>
      </x:c>
      <x:c r="F2" s="4" t="inlineStr">
        <x:is>
          <x:t xml:space="preserve">Growth vs PY</x:t>
        </x:is>
      </x:c>
      <x:c r="G2" s="4" t="inlineStr">
        <x:is>
          <x:t xml:space="preserve">Klasifikasi</x:t>
        </x:is>
      </x:c>
      <x:c r="H2" s="4" t="inlineStr">
        <x:is>
          <x:t xml:space="preserve">Stage</x:t>
        </x:is>
      </x:c>
      <x:c r="I2" s="4" t="inlineStr">
        <x:is>
          <x:t xml:space="preserve">Wajib / Opsional</x:t>
        </x:is>
      </x:c>
      <x:c r="J2" s="4" t="inlineStr">
        <x:is>
          <x:t xml:space="preserve">Catatan user</x:t>
        </x:is>
      </x:c>
      <x:c r="K2" s="4" t="inlineStr">
        <x:is>
          <x:t xml:space="preserve">Coverage / Ratio</x:t>
        </x:is>
      </x:c>
    </x:row>
    <x:row r="3">
      <x:c r="A3" s="9" t="inlineStr">
        <x:is>
          <x:t xml:space="preserve">Aset keuangan</x:t>
        </x:is>
      </x:c>
      <x:c r="B3" s="9" t="inlineStr">
        <x:is>
          <x:t xml:space="preserve">FVTPL carrying amount</x:t>
        </x:is>
      </x:c>
      <x:c r="C3" s="16" t="inlineStr">
        <x:is>
          <x:t xml:space="preserve"/>
        </x:is>
      </x:c>
      <x:c r="D3" s="16" t="inlineStr">
        <x:is>
          <x:t xml:space="preserve"/>
        </x:is>
      </x:c>
      <x:c r="E3" s="16" t="inlineStr">
        <x:is>
          <x:t xml:space="preserve"/>
        </x:is>
      </x:c>
      <x:c r="F3" s="11">
        <x:f>IFERROR((C3/D3)-1,"")</x:f>
      </x:c>
      <x:c r="G3" s="17" t="inlineStr">
        <x:is>
          <x:t xml:space="preserve">FVTPL</x:t>
        </x:is>
      </x:c>
      <x:c r="H3" s="9" t="inlineStr">
        <x:is>
          <x:t xml:space="preserve"/>
        </x:is>
      </x:c>
      <x:c r="I3" s="9" t="inlineStr">
        <x:is>
          <x:t xml:space="preserve">Opsional</x:t>
        </x:is>
      </x:c>
      <x:c r="J3" s="9" t="n"/>
      <x:c r="K3" s="9" t="n"/>
    </x:row>
    <x:row r="4">
      <x:c r="A4" s="9" t="inlineStr">
        <x:is>
          <x:t xml:space="preserve">Aset keuangan</x:t>
        </x:is>
      </x:c>
      <x:c r="B4" s="9" t="inlineStr">
        <x:is>
          <x:t xml:space="preserve">FVOCI debt instruments carrying amount</x:t>
        </x:is>
      </x:c>
      <x:c r="C4" s="16" t="inlineStr">
        <x:is>
          <x:t xml:space="preserve"/>
        </x:is>
      </x:c>
      <x:c r="D4" s="16" t="inlineStr">
        <x:is>
          <x:t xml:space="preserve"/>
        </x:is>
      </x:c>
      <x:c r="E4" s="16" t="inlineStr">
        <x:is>
          <x:t xml:space="preserve"/>
        </x:is>
      </x:c>
      <x:c r="F4" s="11">
        <x:f>IFERROR((C4/D4)-1,"")</x:f>
      </x:c>
      <x:c r="G4" s="17" t="inlineStr">
        <x:is>
          <x:t xml:space="preserve">FVOCI</x:t>
        </x:is>
      </x:c>
      <x:c r="H4" s="9" t="inlineStr">
        <x:is>
          <x:t xml:space="preserve"/>
        </x:is>
      </x:c>
      <x:c r="I4" s="9" t="inlineStr">
        <x:is>
          <x:t xml:space="preserve">Penting</x:t>
        </x:is>
      </x:c>
      <x:c r="J4" s="9" t="n"/>
      <x:c r="K4" s="9" t="n"/>
    </x:row>
    <x:row r="5">
      <x:c r="A5" s="9" t="inlineStr">
        <x:is>
          <x:t xml:space="preserve">Aset keuangan</x:t>
        </x:is>
      </x:c>
      <x:c r="B5" s="9" t="inlineStr">
        <x:is>
          <x:t xml:space="preserve">FVOCI equity instruments carrying amount</x:t>
        </x:is>
      </x:c>
      <x:c r="C5" s="16" t="inlineStr">
        <x:is>
          <x:t xml:space="preserve"/>
        </x:is>
      </x:c>
      <x:c r="D5" s="16" t="inlineStr">
        <x:is>
          <x:t xml:space="preserve"/>
        </x:is>
      </x:c>
      <x:c r="E5" s="16" t="inlineStr">
        <x:is>
          <x:t xml:space="preserve"/>
        </x:is>
      </x:c>
      <x:c r="F5" s="11">
        <x:f>IFERROR((C5/D5)-1,"")</x:f>
      </x:c>
      <x:c r="G5" s="17" t="inlineStr">
        <x:is>
          <x:t xml:space="preserve">FVOCI</x:t>
        </x:is>
      </x:c>
      <x:c r="H5" s="9" t="inlineStr">
        <x:is>
          <x:t xml:space="preserve"/>
        </x:is>
      </x:c>
      <x:c r="I5" s="9" t="inlineStr">
        <x:is>
          <x:t xml:space="preserve">Opsional</x:t>
        </x:is>
      </x:c>
      <x:c r="J5" s="9" t="n"/>
      <x:c r="K5" s="9" t="n"/>
    </x:row>
    <x:row r="6">
      <x:c r="A6" s="9" t="inlineStr">
        <x:is>
          <x:t xml:space="preserve">Aset keuangan</x:t>
        </x:is>
      </x:c>
      <x:c r="B6" s="9" t="inlineStr">
        <x:is>
          <x:t xml:space="preserve">Amortised cost debt instruments carrying amount</x:t>
        </x:is>
      </x:c>
      <x:c r="C6" s="16" t="inlineStr">
        <x:is>
          <x:t xml:space="preserve"/>
        </x:is>
      </x:c>
      <x:c r="D6" s="16" t="inlineStr">
        <x:is>
          <x:t xml:space="preserve"/>
        </x:is>
      </x:c>
      <x:c r="E6" s="16" t="inlineStr">
        <x:is>
          <x:t xml:space="preserve"/>
        </x:is>
      </x:c>
      <x:c r="F6" s="11">
        <x:f>IFERROR((C6/D6)-1,"")</x:f>
      </x:c>
      <x:c r="G6" s="17" t="inlineStr">
        <x:is>
          <x:t xml:space="preserve">AC</x:t>
        </x:is>
      </x:c>
      <x:c r="H6" s="9" t="inlineStr">
        <x:is>
          <x:t xml:space="preserve"/>
        </x:is>
      </x:c>
      <x:c r="I6" s="9" t="inlineStr">
        <x:is>
          <x:t xml:space="preserve">Penting</x:t>
        </x:is>
      </x:c>
      <x:c r="J6" s="9" t="n"/>
      <x:c r="K6" s="9" t="n"/>
    </x:row>
    <x:row r="7">
      <x:c r="A7" s="9" t="inlineStr">
        <x:is>
          <x:t xml:space="preserve">Aset keuangan</x:t>
        </x:is>
      </x:c>
      <x:c r="B7" s="9" t="inlineStr">
        <x:is>
          <x:t xml:space="preserve">Loans and receivables carrying amount</x:t>
        </x:is>
      </x:c>
      <x:c r="C7" s="16" t="inlineStr">
        <x:is>
          <x:t xml:space="preserve"/>
        </x:is>
      </x:c>
      <x:c r="D7" s="16" t="inlineStr">
        <x:is>
          <x:t xml:space="preserve"/>
        </x:is>
      </x:c>
      <x:c r="E7" s="16" t="inlineStr">
        <x:is>
          <x:t xml:space="preserve"/>
        </x:is>
      </x:c>
      <x:c r="F7" s="11">
        <x:f>IFERROR((C7/D7)-1,"")</x:f>
      </x:c>
      <x:c r="G7" s="17" t="inlineStr">
        <x:is>
          <x:t xml:space="preserve">AC</x:t>
        </x:is>
      </x:c>
      <x:c r="H7" s="9" t="inlineStr">
        <x:is>
          <x:t xml:space="preserve"/>
        </x:is>
      </x:c>
      <x:c r="I7" s="9" t="inlineStr">
        <x:is>
          <x:t xml:space="preserve">Opsional</x:t>
        </x:is>
      </x:c>
      <x:c r="J7" s="9" t="n"/>
      <x:c r="K7" s="9" t="n"/>
    </x:row>
    <x:row r="8">
      <x:c r="A8" s="12" t="inlineStr">
        <x:is>
          <x:t xml:space="preserve">ECL</x:t>
        </x:is>
      </x:c>
      <x:c r="B8" s="12" t="inlineStr">
        <x:is>
          <x:t xml:space="preserve">TOTAL financial assets subject to ECL</x:t>
        </x:is>
      </x:c>
      <x:c r="C8" s="13">
        <x:f>SUM(C4,C6,C7)</x:f>
        <x:v>0</x:v>
      </x:c>
      <x:c r="D8" s="13">
        <x:f>SUM(D4,D6,D7)</x:f>
        <x:v>0</x:v>
      </x:c>
      <x:c r="E8" s="13">
        <x:f>SUM(E4,E6,E7)</x:f>
        <x:v>0</x:v>
      </x:c>
      <x:c r="F8" s="14">
        <x:f>IFERROR((C8/D8)-1,"")</x:f>
      </x:c>
      <x:c r="G8" s="13" t="inlineStr">
        <x:is>
          <x:t xml:space="preserve">AC/FVOCI</x:t>
        </x:is>
      </x:c>
      <x:c r="H8" s="15" t="inlineStr">
        <x:is>
          <x:t xml:space="preserve"/>
        </x:is>
      </x:c>
      <x:c r="I8" s="15" t="inlineStr">
        <x:is>
          <x:t xml:space="preserve">Formula</x:t>
        </x:is>
      </x:c>
      <x:c r="J8" s="15" t="n"/>
      <x:c r="K8" s="15" t="n"/>
    </x:row>
    <x:row r="9">
      <x:c r="A9" s="9" t="inlineStr">
        <x:is>
          <x:t xml:space="preserve">ECL</x:t>
        </x:is>
      </x:c>
      <x:c r="B9" s="9" t="inlineStr">
        <x:is>
          <x:t xml:space="preserve">Stage 1 gross exposure</x:t>
        </x:is>
      </x:c>
      <x:c r="C9" s="16" t="inlineStr">
        <x:is>
          <x:t xml:space="preserve"/>
        </x:is>
      </x:c>
      <x:c r="D9" s="16" t="inlineStr">
        <x:is>
          <x:t xml:space="preserve"/>
        </x:is>
      </x:c>
      <x:c r="E9" s="16" t="inlineStr">
        <x:is>
          <x:t xml:space="preserve"/>
        </x:is>
      </x:c>
      <x:c r="F9" s="11">
        <x:f>IFERROR((C9/D9)-1,"")</x:f>
      </x:c>
      <x:c r="G9" s="17" t="inlineStr">
        <x:is>
          <x:t xml:space="preserve">AC/FVOCI</x:t>
        </x:is>
      </x:c>
      <x:c r="H9" s="9" t="inlineStr">
        <x:is>
          <x:t xml:space="preserve">Stage 1</x:t>
        </x:is>
      </x:c>
      <x:c r="I9" s="9" t="inlineStr">
        <x:is>
          <x:t xml:space="preserve">Penting</x:t>
        </x:is>
      </x:c>
      <x:c r="J9" s="9" t="n"/>
      <x:c r="K9" s="9" t="n"/>
    </x:row>
    <x:row r="10">
      <x:c r="A10" s="9" t="inlineStr">
        <x:is>
          <x:t xml:space="preserve">ECL</x:t>
        </x:is>
      </x:c>
      <x:c r="B10" s="9" t="inlineStr">
        <x:is>
          <x:t xml:space="preserve">Stage 2 gross exposure</x:t>
        </x:is>
      </x:c>
      <x:c r="C10" s="16" t="inlineStr">
        <x:is>
          <x:t xml:space="preserve"/>
        </x:is>
      </x:c>
      <x:c r="D10" s="16" t="inlineStr">
        <x:is>
          <x:t xml:space="preserve"/>
        </x:is>
      </x:c>
      <x:c r="E10" s="16" t="inlineStr">
        <x:is>
          <x:t xml:space="preserve"/>
        </x:is>
      </x:c>
      <x:c r="F10" s="11">
        <x:f>IFERROR((C10/D10)-1,"")</x:f>
      </x:c>
      <x:c r="G10" s="17" t="inlineStr">
        <x:is>
          <x:t xml:space="preserve">AC/FVOCI</x:t>
        </x:is>
      </x:c>
      <x:c r="H10" s="9" t="inlineStr">
        <x:is>
          <x:t xml:space="preserve">Stage 2</x:t>
        </x:is>
      </x:c>
      <x:c r="I10" s="9" t="inlineStr">
        <x:is>
          <x:t xml:space="preserve">Penting</x:t>
        </x:is>
      </x:c>
      <x:c r="J10" s="9" t="n"/>
      <x:c r="K10" s="9" t="n"/>
    </x:row>
    <x:row r="11">
      <x:c r="A11" s="9" t="inlineStr">
        <x:is>
          <x:t xml:space="preserve">ECL</x:t>
        </x:is>
      </x:c>
      <x:c r="B11" s="9" t="inlineStr">
        <x:is>
          <x:t xml:space="preserve">Stage 3 gross exposure</x:t>
        </x:is>
      </x:c>
      <x:c r="C11" s="16" t="inlineStr">
        <x:is>
          <x:t xml:space="preserve"/>
        </x:is>
      </x:c>
      <x:c r="D11" s="16" t="inlineStr">
        <x:is>
          <x:t xml:space="preserve"/>
        </x:is>
      </x:c>
      <x:c r="E11" s="16" t="inlineStr">
        <x:is>
          <x:t xml:space="preserve"/>
        </x:is>
      </x:c>
      <x:c r="F11" s="11">
        <x:f>IFERROR((C11/D11)-1,"")</x:f>
      </x:c>
      <x:c r="G11" s="17" t="inlineStr">
        <x:is>
          <x:t xml:space="preserve">AC/FVOCI</x:t>
        </x:is>
      </x:c>
      <x:c r="H11" s="9" t="inlineStr">
        <x:is>
          <x:t xml:space="preserve">Stage 3</x:t>
        </x:is>
      </x:c>
      <x:c r="I11" s="9" t="inlineStr">
        <x:is>
          <x:t xml:space="preserve">Penting</x:t>
        </x:is>
      </x:c>
      <x:c r="J11" s="9" t="n"/>
      <x:c r="K11" s="9" t="n"/>
    </x:row>
    <x:row r="12">
      <x:c r="A12" s="9" t="inlineStr">
        <x:is>
          <x:t xml:space="preserve">ECL</x:t>
        </x:is>
      </x:c>
      <x:c r="B12" s="9" t="inlineStr">
        <x:is>
          <x:t xml:space="preserve">Stage 1 allowance</x:t>
        </x:is>
      </x:c>
      <x:c r="C12" s="16" t="inlineStr">
        <x:is>
          <x:t xml:space="preserve"/>
        </x:is>
      </x:c>
      <x:c r="D12" s="16" t="inlineStr">
        <x:is>
          <x:t xml:space="preserve"/>
        </x:is>
      </x:c>
      <x:c r="E12" s="16" t="inlineStr">
        <x:is>
          <x:t xml:space="preserve"/>
        </x:is>
      </x:c>
      <x:c r="F12" s="11">
        <x:f>IFERROR((C12/D12)-1,"")</x:f>
      </x:c>
      <x:c r="G12" s="17" t="inlineStr">
        <x:is>
          <x:t xml:space="preserve">AC/FVOCI</x:t>
        </x:is>
      </x:c>
      <x:c r="H12" s="9" t="inlineStr">
        <x:is>
          <x:t xml:space="preserve">Stage 1</x:t>
        </x:is>
      </x:c>
      <x:c r="I12" s="9" t="inlineStr">
        <x:is>
          <x:t xml:space="preserve">Penting</x:t>
        </x:is>
      </x:c>
      <x:c r="J12" s="9" t="n"/>
      <x:c r="K12" s="9" t="n"/>
    </x:row>
    <x:row r="13">
      <x:c r="A13" s="9" t="inlineStr">
        <x:is>
          <x:t xml:space="preserve">ECL</x:t>
        </x:is>
      </x:c>
      <x:c r="B13" s="9" t="inlineStr">
        <x:is>
          <x:t xml:space="preserve">Stage 2 allowance</x:t>
        </x:is>
      </x:c>
      <x:c r="C13" s="16" t="inlineStr">
        <x:is>
          <x:t xml:space="preserve"/>
        </x:is>
      </x:c>
      <x:c r="D13" s="16" t="inlineStr">
        <x:is>
          <x:t xml:space="preserve"/>
        </x:is>
      </x:c>
      <x:c r="E13" s="16" t="inlineStr">
        <x:is>
          <x:t xml:space="preserve"/>
        </x:is>
      </x:c>
      <x:c r="F13" s="11">
        <x:f>IFERROR((C13/D13)-1,"")</x:f>
      </x:c>
      <x:c r="G13" s="17" t="inlineStr">
        <x:is>
          <x:t xml:space="preserve">AC/FVOCI</x:t>
        </x:is>
      </x:c>
      <x:c r="H13" s="9" t="inlineStr">
        <x:is>
          <x:t xml:space="preserve">Stage 2</x:t>
        </x:is>
      </x:c>
      <x:c r="I13" s="9" t="inlineStr">
        <x:is>
          <x:t xml:space="preserve">Penting</x:t>
        </x:is>
      </x:c>
      <x:c r="J13" s="9" t="n"/>
      <x:c r="K13" s="9" t="n"/>
    </x:row>
    <x:row r="14">
      <x:c r="A14" s="9" t="inlineStr">
        <x:is>
          <x:t xml:space="preserve">ECL</x:t>
        </x:is>
      </x:c>
      <x:c r="B14" s="9" t="inlineStr">
        <x:is>
          <x:t xml:space="preserve">Stage 3 allowance</x:t>
        </x:is>
      </x:c>
      <x:c r="C14" s="16" t="inlineStr">
        <x:is>
          <x:t xml:space="preserve"/>
        </x:is>
      </x:c>
      <x:c r="D14" s="16" t="inlineStr">
        <x:is>
          <x:t xml:space="preserve"/>
        </x:is>
      </x:c>
      <x:c r="E14" s="16" t="inlineStr">
        <x:is>
          <x:t xml:space="preserve"/>
        </x:is>
      </x:c>
      <x:c r="F14" s="11">
        <x:f>IFERROR((C14/D14)-1,"")</x:f>
      </x:c>
      <x:c r="G14" s="17" t="inlineStr">
        <x:is>
          <x:t xml:space="preserve">AC/FVOCI</x:t>
        </x:is>
      </x:c>
      <x:c r="H14" s="9" t="inlineStr">
        <x:is>
          <x:t xml:space="preserve">Stage 3</x:t>
        </x:is>
      </x:c>
      <x:c r="I14" s="9" t="inlineStr">
        <x:is>
          <x:t xml:space="preserve">Penting</x:t>
        </x:is>
      </x:c>
      <x:c r="J14" s="9" t="n"/>
      <x:c r="K14" s="9" t="n"/>
    </x:row>
    <x:row r="15">
      <x:c r="A15" s="12" t="inlineStr">
        <x:is>
          <x:t xml:space="preserve">ECL</x:t>
        </x:is>
      </x:c>
      <x:c r="B15" s="12" t="inlineStr">
        <x:is>
          <x:t xml:space="preserve">TOTAL allowance ECL</x:t>
        </x:is>
      </x:c>
      <x:c r="C15" s="13">
        <x:f>SUM(C12:C14)</x:f>
        <x:v>0</x:v>
      </x:c>
      <x:c r="D15" s="13">
        <x:f>SUM(D12:D14)</x:f>
        <x:v>0</x:v>
      </x:c>
      <x:c r="E15" s="13">
        <x:f>SUM(E12:E14)</x:f>
        <x:v>0</x:v>
      </x:c>
      <x:c r="F15" s="14">
        <x:f>IFERROR((C15/D15)-1,"")</x:f>
      </x:c>
      <x:c r="G15" s="13" t="inlineStr">
        <x:is>
          <x:t xml:space="preserve">AC/FVOCI</x:t>
        </x:is>
      </x:c>
      <x:c r="H15" s="15" t="inlineStr">
        <x:is>
          <x:t xml:space="preserve">All</x:t>
        </x:is>
      </x:c>
      <x:c r="I15" s="15" t="inlineStr">
        <x:is>
          <x:t xml:space="preserve">Formula</x:t>
        </x:is>
      </x:c>
      <x:c r="J15" s="15" t="n"/>
      <x:c r="K15" s="15" t="n"/>
    </x:row>
    <x:row r="16">
      <x:c r="A16" s="12" t="inlineStr">
        <x:is>
          <x:t xml:space="preserve">ECL</x:t>
        </x:is>
      </x:c>
      <x:c r="B16" s="12" t="inlineStr">
        <x:is>
          <x:t xml:space="preserve">Coverage on ECL assets</x:t>
        </x:is>
      </x:c>
      <x:c r="C16" s="13">
        <x:f>IFERROR(C15/C8,"")</x:f>
      </x:c>
      <x:c r="D16" s="13">
        <x:f>IFERROR(D15/D8,"")</x:f>
      </x:c>
      <x:c r="E16" s="13">
        <x:f>IFERROR(E15/E8,"")</x:f>
      </x:c>
      <x:c r="F16" s="14">
        <x:f>IFERROR((C16/D16)-1,"")</x:f>
      </x:c>
      <x:c r="G16" s="13" t="inlineStr">
        <x:is>
          <x:t xml:space="preserve">AC/FVOCI</x:t>
        </x:is>
      </x:c>
      <x:c r="H16" s="15" t="inlineStr">
        <x:is>
          <x:t xml:space="preserve"/>
        </x:is>
      </x:c>
      <x:c r="I16" s="15" t="inlineStr">
        <x:is>
          <x:t xml:space="preserve">Formula</x:t>
        </x:is>
      </x:c>
      <x:c r="J16" s="15" t="n"/>
      <x:c r="K16" s="15" t="n"/>
    </x:row>
    <x:row r="17">
      <x:c r="A17" s="9" t="inlineStr">
        <x:is>
          <x:t xml:space="preserve">Kualitas aset</x:t>
        </x:is>
      </x:c>
      <x:c r="B17" s="9" t="inlineStr">
        <x:is>
          <x:t xml:space="preserve">Low credit risk exposure</x:t>
        </x:is>
      </x:c>
      <x:c r="C17" s="16" t="inlineStr">
        <x:is>
          <x:t xml:space="preserve"/>
        </x:is>
      </x:c>
      <x:c r="D17" s="16" t="inlineStr">
        <x:is>
          <x:t xml:space="preserve"/>
        </x:is>
      </x:c>
      <x:c r="E17" s="16" t="inlineStr">
        <x:is>
          <x:t xml:space="preserve"/>
        </x:is>
      </x:c>
      <x:c r="F17" s="11">
        <x:f>IFERROR((C17/D17)-1,"")</x:f>
      </x:c>
      <x:c r="G17" s="17" t="inlineStr">
        <x:is>
          <x:t xml:space="preserve">AC/FVOCI</x:t>
        </x:is>
      </x:c>
      <x:c r="H17" s="9" t="inlineStr">
        <x:is>
          <x:t xml:space="preserve"/>
        </x:is>
      </x:c>
      <x:c r="I17" s="9" t="inlineStr">
        <x:is>
          <x:t xml:space="preserve">Opsional</x:t>
        </x:is>
      </x:c>
      <x:c r="J17" s="9" t="n"/>
      <x:c r="K17" s="9" t="n"/>
    </x:row>
    <x:row r="18">
      <x:c r="A18" s="9" t="inlineStr">
        <x:is>
          <x:t xml:space="preserve">Kualitas aset</x:t>
        </x:is>
      </x:c>
      <x:c r="B18" s="9" t="inlineStr">
        <x:is>
          <x:t xml:space="preserve">Credit-impaired exposure</x:t>
        </x:is>
      </x:c>
      <x:c r="C18" s="16" t="inlineStr">
        <x:is>
          <x:t xml:space="preserve"/>
        </x:is>
      </x:c>
      <x:c r="D18" s="16" t="inlineStr">
        <x:is>
          <x:t xml:space="preserve"/>
        </x:is>
      </x:c>
      <x:c r="E18" s="16" t="inlineStr">
        <x:is>
          <x:t xml:space="preserve"/>
        </x:is>
      </x:c>
      <x:c r="F18" s="11">
        <x:f>IFERROR((C18/D18)-1,"")</x:f>
      </x:c>
      <x:c r="G18" s="17" t="inlineStr">
        <x:is>
          <x:t xml:space="preserve">AC/FVOCI</x:t>
        </x:is>
      </x:c>
      <x:c r="H18" s="9" t="inlineStr">
        <x:is>
          <x:t xml:space="preserve"/>
        </x:is>
      </x:c>
      <x:c r="I18" s="9" t="inlineStr">
        <x:is>
          <x:t xml:space="preserve">Penting</x:t>
        </x:is>
      </x:c>
      <x:c r="J18" s="9" t="n"/>
      <x:c r="K18" s="9" t="n"/>
    </x:row>
    <x:row r="19">
      <x:c r="A19" s="9" t="inlineStr">
        <x:is>
          <x:t xml:space="preserve">Kualitas aset</x:t>
        </x:is>
      </x:c>
      <x:c r="B19" s="9" t="inlineStr">
        <x:is>
          <x:t xml:space="preserve">Write-offs during year</x:t>
        </x:is>
      </x:c>
      <x:c r="C19" s="16" t="inlineStr">
        <x:is>
          <x:t xml:space="preserve"/>
        </x:is>
      </x:c>
      <x:c r="D19" s="16" t="inlineStr">
        <x:is>
          <x:t xml:space="preserve"/>
        </x:is>
      </x:c>
      <x:c r="E19" s="16" t="inlineStr">
        <x:is>
          <x:t xml:space="preserve"/>
        </x:is>
      </x:c>
      <x:c r="F19" s="11">
        <x:f>IFERROR((C19/D19)-1,"")</x:f>
      </x:c>
      <x:c r="G19" s="17" t="inlineStr">
        <x:is>
          <x:t xml:space="preserve">AC/FVOCI</x:t>
        </x:is>
      </x:c>
      <x:c r="H19" s="9" t="inlineStr">
        <x:is>
          <x:t xml:space="preserve"/>
        </x:is>
      </x:c>
      <x:c r="I19" s="9" t="inlineStr">
        <x:is>
          <x:t xml:space="preserve">Opsional</x:t>
        </x:is>
      </x:c>
      <x:c r="J19" s="9" t="n"/>
      <x:c r="K19" s="9" t="n"/>
    </x:row>
    <x:row r="20">
      <x:c r="A20" s="9" t="inlineStr">
        <x:is>
          <x:t xml:space="preserve">Kualitas aset</x:t>
        </x:is>
      </x:c>
      <x:c r="B20" s="9" t="inlineStr">
        <x:is>
          <x:t xml:space="preserve">Recovery of written-off assets</x:t>
        </x:is>
      </x:c>
      <x:c r="C20" s="16" t="inlineStr">
        <x:is>
          <x:t xml:space="preserve"/>
        </x:is>
      </x:c>
      <x:c r="D20" s="16" t="inlineStr">
        <x:is>
          <x:t xml:space="preserve"/>
        </x:is>
      </x:c>
      <x:c r="E20" s="16" t="inlineStr">
        <x:is>
          <x:t xml:space="preserve"/>
        </x:is>
      </x:c>
      <x:c r="F20" s="11">
        <x:f>IFERROR((C20/D20)-1,"")</x:f>
      </x:c>
      <x:c r="G20" s="17" t="inlineStr">
        <x:is>
          <x:t xml:space="preserve">AC/FVOCI</x:t>
        </x:is>
      </x:c>
      <x:c r="H20" s="9" t="inlineStr">
        <x:is>
          <x:t xml:space="preserve"/>
        </x:is>
      </x:c>
      <x:c r="I20" s="9" t="inlineStr">
        <x:is>
          <x:t xml:space="preserve">Opsional</x:t>
        </x:is>
      </x:c>
      <x:c r="J20" s="9" t="n"/>
      <x:c r="K20" s="9" t="n"/>
    </x:row>
    <x:row r="21">
      <x:c r="A21" s="9" t="inlineStr">
        <x:is>
          <x:t xml:space="preserve">OCI</x:t>
        </x:is>
      </x:c>
      <x:c r="B21" s="9" t="inlineStr">
        <x:is>
          <x:t xml:space="preserve">FVOCI reserve closing</x:t>
        </x:is>
      </x:c>
      <x:c r="C21" s="16" t="inlineStr">
        <x:is>
          <x:t xml:space="preserve"/>
        </x:is>
      </x:c>
      <x:c r="D21" s="16" t="inlineStr">
        <x:is>
          <x:t xml:space="preserve"/>
        </x:is>
      </x:c>
      <x:c r="E21" s="16" t="inlineStr">
        <x:is>
          <x:t xml:space="preserve"/>
        </x:is>
      </x:c>
      <x:c r="F21" s="11">
        <x:f>IFERROR((C21/D21)-1,"")</x:f>
      </x:c>
      <x:c r="G21" s="17" t="inlineStr">
        <x:is>
          <x:t xml:space="preserve">FVOCI</x:t>
        </x:is>
      </x:c>
      <x:c r="H21" s="9" t="inlineStr">
        <x:is>
          <x:t xml:space="preserve"/>
        </x:is>
      </x:c>
      <x:c r="I21" s="9" t="inlineStr">
        <x:is>
          <x:t xml:space="preserve">Penting</x:t>
        </x:is>
      </x:c>
      <x:c r="J21" s="9" t="n"/>
      <x:c r="K21" s="9" t="n"/>
    </x:row>
    <x:row r="22">
      <x:c r="A22" s="9" t="inlineStr">
        <x:is>
          <x:t xml:space="preserve">P/L</x:t>
        </x:is>
      </x:c>
      <x:c r="B22" s="9" t="inlineStr">
        <x:is>
          <x:t xml:space="preserve">Fair value gain/(loss) on FVTPL recognised in P/L</x:t>
        </x:is>
      </x:c>
      <x:c r="C22" s="16" t="inlineStr">
        <x:is>
          <x:t xml:space="preserve"/>
        </x:is>
      </x:c>
      <x:c r="D22" s="16" t="inlineStr">
        <x:is>
          <x:t xml:space="preserve"/>
        </x:is>
      </x:c>
      <x:c r="E22" s="16" t="inlineStr">
        <x:is>
          <x:t xml:space="preserve"/>
        </x:is>
      </x:c>
      <x:c r="F22" s="11">
        <x:f>IFERROR((C22/D22)-1,"")</x:f>
      </x:c>
      <x:c r="G22" s="17" t="inlineStr">
        <x:is>
          <x:t xml:space="preserve">FVTPL</x:t>
        </x:is>
      </x:c>
      <x:c r="H22" s="9" t="inlineStr">
        <x:is>
          <x:t xml:space="preserve"/>
        </x:is>
      </x:c>
      <x:c r="I22" s="9" t="inlineStr">
        <x:is>
          <x:t xml:space="preserve">Opsional</x:t>
        </x:is>
      </x:c>
      <x:c r="J22" s="9" t="n"/>
      <x:c r="K22" s="9" t="n"/>
    </x:row>
    <x:row r="23">
      <x:c r="A23" s="9" t="inlineStr">
        <x:is>
          <x:t xml:space="preserve">P/L</x:t>
        </x:is>
      </x:c>
      <x:c r="B23" s="9" t="inlineStr">
        <x:is>
          <x:t xml:space="preserve">Investment income on financial assets</x:t>
        </x:is>
      </x:c>
      <x:c r="C23" s="16" t="inlineStr">
        <x:is>
          <x:t xml:space="preserve"/>
        </x:is>
      </x:c>
      <x:c r="D23" s="16" t="inlineStr">
        <x:is>
          <x:t xml:space="preserve"/>
        </x:is>
      </x:c>
      <x:c r="E23" s="16" t="inlineStr">
        <x:is>
          <x:t xml:space="preserve"/>
        </x:is>
      </x:c>
      <x:c r="F23" s="11">
        <x:f>IFERROR((C23/D23)-1,"")</x:f>
      </x:c>
      <x:c r="G23" s="17" t="inlineStr">
        <x:is>
          <x:t xml:space="preserve">All</x:t>
        </x:is>
      </x:c>
      <x:c r="H23" s="9" t="inlineStr">
        <x:is>
          <x:t xml:space="preserve"/>
        </x:is>
      </x:c>
      <x:c r="I23" s="9" t="inlineStr">
        <x:is>
          <x:t xml:space="preserve">Penting</x:t>
        </x:is>
      </x:c>
      <x:c r="J23" s="9" t="n"/>
      <x:c r="K23" s="9" t="n"/>
    </x:row>
    <x:row r="24">
      <x:c r="A24" s="9" t="inlineStr">
        <x:is>
          <x:t xml:space="preserve">P/L</x:t>
        </x:is>
      </x:c>
      <x:c r="B24" s="9" t="inlineStr">
        <x:is>
          <x:t xml:space="preserve">Average investment assets</x:t>
        </x:is>
      </x:c>
      <x:c r="C24" s="16" t="inlineStr">
        <x:is>
          <x:t xml:space="preserve"/>
        </x:is>
      </x:c>
      <x:c r="D24" s="16" t="inlineStr">
        <x:is>
          <x:t xml:space="preserve"/>
        </x:is>
      </x:c>
      <x:c r="E24" s="16" t="inlineStr">
        <x:is>
          <x:t xml:space="preserve"/>
        </x:is>
      </x:c>
      <x:c r="F24" s="11">
        <x:f>IFERROR((C24/D24)-1,"")</x:f>
      </x:c>
      <x:c r="G24" s="17" t="inlineStr">
        <x:is>
          <x:t xml:space="preserve">All</x:t>
        </x:is>
      </x:c>
      <x:c r="H24" s="9" t="inlineStr">
        <x:is>
          <x:t xml:space="preserve"/>
        </x:is>
      </x:c>
      <x:c r="I24" s="9" t="inlineStr">
        <x:is>
          <x:t xml:space="preserve">Opsional</x:t>
        </x:is>
      </x:c>
      <x:c r="J24" s="9" t="n"/>
      <x:c r="K24" s="9" t="n"/>
    </x:row>
    <x:row r="25">
      <x:c r="A25" s="12" t="inlineStr">
        <x:is>
          <x:t xml:space="preserve">P/L</x:t>
        </x:is>
      </x:c>
      <x:c r="B25" s="12" t="inlineStr">
        <x:is>
          <x:t xml:space="preserve">Portfolio yield</x:t>
        </x:is>
      </x:c>
      <x:c r="C25" s="13">
        <x:f>IFERROR(C23/C24,"")</x:f>
      </x:c>
      <x:c r="D25" s="13">
        <x:f>IFERROR(D23/D24,"")</x:f>
      </x:c>
      <x:c r="E25" s="13">
        <x:f>IFERROR(E23/E24,"")</x:f>
      </x:c>
      <x:c r="F25" s="14">
        <x:f>IFERROR((C25/D25)-1,"")</x:f>
      </x:c>
      <x:c r="G25" s="13" t="inlineStr">
        <x:is>
          <x:t xml:space="preserve">All</x:t>
        </x:is>
      </x:c>
      <x:c r="H25" s="15" t="inlineStr">
        <x:is>
          <x:t xml:space="preserve"/>
        </x:is>
      </x:c>
      <x:c r="I25" s="15" t="inlineStr">
        <x:is>
          <x:t xml:space="preserve">Formula</x:t>
        </x:is>
      </x:c>
      <x:c r="J25" s="15" t="n"/>
      <x:c r="K25" s="15" t="n"/>
    </x:row>
    <x:row r="26">
      <x:c r="A26" s="9" t="inlineStr">
        <x:is>
          <x:t xml:space="preserve">Sensitivitas</x:t>
        </x:is>
      </x:c>
      <x:c r="B26" s="9" t="inlineStr">
        <x:is>
          <x:t xml:space="preserve">Interest rate duration / sensitivity (years)</x:t>
        </x:is>
      </x:c>
      <x:c r="C26" s="16" t="inlineStr">
        <x:is>
          <x:t xml:space="preserve"/>
        </x:is>
      </x:c>
      <x:c r="D26" s="16" t="inlineStr">
        <x:is>
          <x:t xml:space="preserve"/>
        </x:is>
      </x:c>
      <x:c r="E26" s="16" t="inlineStr">
        <x:is>
          <x:t xml:space="preserve"/>
        </x:is>
      </x:c>
      <x:c r="F26" s="11">
        <x:f>IFERROR((C26/D26)-1,"")</x:f>
      </x:c>
      <x:c r="G26" s="17" t="inlineStr">
        <x:is>
          <x:t xml:space="preserve">All</x:t>
        </x:is>
      </x:c>
      <x:c r="H26" s="9" t="inlineStr">
        <x:is>
          <x:t xml:space="preserve"/>
        </x:is>
      </x:c>
      <x:c r="I26" s="9" t="inlineStr">
        <x:is>
          <x:t xml:space="preserve">Opsional</x:t>
        </x:is>
      </x:c>
      <x:c r="J26" s="9" t="n"/>
      <x:c r="K26" s="9" t="n"/>
    </x:row>
  </x:sheetData>
  <x:mergeCells>
    <x:mergeCell ref="A1:K1"/>
  </x:mergeCells>
  <x:pageMargins left="0.7" right="0.7" top="0.75" bottom="0.75" header="0.3" footer="0.3"/>
  <x:legacyDrawing xmlns:r="http://schemas.openxmlformats.org/officeDocument/2006/relationships" r:id="R0642af445bfc4fd7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36" customWidth="1"/>
    <x:col min="3" max="3" width="46" customWidth="1"/>
    <x:col min="4" max="4" width="12" customWidth="1"/>
    <x:col min="5" max="5" width="18" customWidth="1"/>
    <x:col min="6" max="6" width="14" customWidth="1"/>
    <x:col min="7" max="7" width="24" customWidth="1"/>
  </x:cols>
  <x:sheetData>
    <x:row r="1">
      <x:c r="A1" s="1" t="inlineStr">
        <x:is>
          <x:t xml:space="preserve">MAPPING AKUN STANDAR IFRS 9 / IFRS 17 UNTUK AUDITED REPORT ASURANSI JIWA</x:t>
        </x:is>
      </x:c>
    </x:row>
    <x:row r="2">
      <x:c r="A2" s="4" t="inlineStr">
        <x:is>
          <x:t xml:space="preserve">Kelompok</x:t>
        </x:is>
      </x:c>
      <x:c r="B2" s="4" t="inlineStr">
        <x:is>
          <x:t xml:space="preserve">Akun standar template</x:t>
        </x:is>
      </x:c>
      <x:c r="C2" s="4" t="inlineStr">
        <x:is>
          <x:t xml:space="preserve">Contoh nama akun pada audited report</x:t>
        </x:is>
      </x:c>
      <x:c r="D2" s="4" t="inlineStr">
        <x:is>
          <x:t xml:space="preserve">Standar utama</x:t>
        </x:is>
      </x:c>
      <x:c r="E2" s="4" t="inlineStr">
        <x:is>
          <x:t xml:space="preserve">Sheet input</x:t>
        </x:is>
      </x:c>
      <x:c r="F2" s="4" t="inlineStr">
        <x:is>
          <x:t xml:space="preserve">Wajib / Opsional</x:t>
        </x:is>
      </x:c>
      <x:c r="G2" s="4" t="inlineStr">
        <x:is>
          <x:t xml:space="preserve">Catatan</x:t>
        </x:is>
      </x:c>
    </x:row>
    <x:row r="3">
      <x:c r="A3" s="9" t="inlineStr">
        <x:is>
          <x:t xml:space="preserve">SFP</x:t>
        </x:is>
      </x:c>
      <x:c r="B3" s="9" t="inlineStr">
        <x:is>
          <x:t xml:space="preserve">Investasi utang pada FVOCI</x:t>
        </x:is>
      </x:c>
      <x:c r="C3" s="17" t="inlineStr">
        <x:is>
          <x:t xml:space="preserve">Debt securities at FVOCI / investasi utang FVOCI</x:t>
        </x:is>
      </x:c>
      <x:c r="D3" s="17" t="inlineStr">
        <x:is>
          <x:t xml:space="preserve">IFRS 9</x:t>
        </x:is>
      </x:c>
      <x:c r="E3" s="17" t="inlineStr">
        <x:is>
          <x:t xml:space="preserve">Input_SFP</x:t>
        </x:is>
      </x:c>
      <x:c r="F3" s="17" t="inlineStr">
        <x:is>
          <x:t xml:space="preserve">Penting</x:t>
        </x:is>
      </x:c>
      <x:c r="G3" s="17" t="inlineStr">
        <x:is>
          <x:t xml:space="preserve">Pisahkan dari FVTPL dan AC</x:t>
        </x:is>
      </x:c>
    </x:row>
    <x:row r="4">
      <x:c r="A4" s="9" t="inlineStr">
        <x:is>
          <x:t xml:space="preserve">SFP</x:t>
        </x:is>
      </x:c>
      <x:c r="B4" s="9" t="inlineStr">
        <x:is>
          <x:t xml:space="preserve">Investasi pada biaya perolehan diamortisasi</x:t>
        </x:is>
      </x:c>
      <x:c r="C4" s="17" t="inlineStr">
        <x:is>
          <x:t xml:space="preserve">Debt securities at amortised cost / obligasi amortised cost</x:t>
        </x:is>
      </x:c>
      <x:c r="D4" s="17" t="inlineStr">
        <x:is>
          <x:t xml:space="preserve">IFRS 9</x:t>
        </x:is>
      </x:c>
      <x:c r="E4" s="17" t="inlineStr">
        <x:is>
          <x:t xml:space="preserve">Input_SFP</x:t>
        </x:is>
      </x:c>
      <x:c r="F4" s="17" t="inlineStr">
        <x:is>
          <x:t xml:space="preserve">Penting</x:t>
        </x:is>
      </x:c>
      <x:c r="G4" s="17" t="inlineStr">
        <x:is>
          <x:t xml:space="preserve">Masuk basis ECL</x:t>
        </x:is>
      </x:c>
    </x:row>
    <x:row r="5">
      <x:c r="A5" s="9" t="inlineStr">
        <x:is>
          <x:t xml:space="preserve">SFP</x:t>
        </x:is>
      </x:c>
      <x:c r="B5" s="9" t="inlineStr">
        <x:is>
          <x:t xml:space="preserve">Aset kontrak reasuransi</x:t>
        </x:is>
      </x:c>
      <x:c r="C5" s="17" t="inlineStr">
        <x:is>
          <x:t xml:space="preserve">Reinsurance contract assets / aset reasuransi</x:t>
        </x:is>
      </x:c>
      <x:c r="D5" s="17" t="inlineStr">
        <x:is>
          <x:t xml:space="preserve">IFRS 17</x:t>
        </x:is>
      </x:c>
      <x:c r="E5" s="17" t="inlineStr">
        <x:is>
          <x:t xml:space="preserve">Input_SFP</x:t>
        </x:is>
      </x:c>
      <x:c r="F5" s="17" t="inlineStr">
        <x:is>
          <x:t xml:space="preserve">Penting</x:t>
        </x:is>
      </x:c>
      <x:c r="G5" s="17" t="inlineStr">
        <x:is>
          <x:t xml:space="preserve">Posisi neraca reasuransi</x:t>
        </x:is>
      </x:c>
    </x:row>
    <x:row r="6">
      <x:c r="A6" s="9" t="inlineStr">
        <x:is>
          <x:t xml:space="preserve">SFP</x:t>
        </x:is>
      </x:c>
      <x:c r="B6" s="9" t="inlineStr">
        <x:is>
          <x:t xml:space="preserve">Liabilitas kontrak asuransi</x:t>
        </x:is>
      </x:c>
      <x:c r="C6" s="17" t="inlineStr">
        <x:is>
          <x:t xml:space="preserve">Insurance contract liabilities / liabilitas kontrak asuransi</x:t>
        </x:is>
      </x:c>
      <x:c r="D6" s="17" t="inlineStr">
        <x:is>
          <x:t xml:space="preserve">IFRS 17</x:t>
        </x:is>
      </x:c>
      <x:c r="E6" s="17" t="inlineStr">
        <x:is>
          <x:t xml:space="preserve">Input_SFP</x:t>
        </x:is>
      </x:c>
      <x:c r="F6" s="17" t="inlineStr">
        <x:is>
          <x:t xml:space="preserve">Penting</x:t>
        </x:is>
      </x:c>
      <x:c r="G6" s="17" t="inlineStr">
        <x:is>
          <x:t xml:space="preserve">Kewajiban utama pasca IFRS 17</x:t>
        </x:is>
      </x:c>
    </x:row>
    <x:row r="7">
      <x:c r="A7" s="9" t="inlineStr">
        <x:is>
          <x:t xml:space="preserve">PL</x:t>
        </x:is>
      </x:c>
      <x:c r="B7" s="9" t="inlineStr">
        <x:is>
          <x:t xml:space="preserve">Insurance revenue</x:t>
        </x:is>
      </x:c>
      <x:c r="C7" s="17" t="inlineStr">
        <x:is>
          <x:t xml:space="preserve">Pendapatan asuransi</x:t>
        </x:is>
      </x:c>
      <x:c r="D7" s="17" t="inlineStr">
        <x:is>
          <x:t xml:space="preserve">IFRS 17</x:t>
        </x:is>
      </x:c>
      <x:c r="E7" s="17" t="inlineStr">
        <x:is>
          <x:t xml:space="preserve">Input_PL_OCI</x:t>
        </x:is>
      </x:c>
      <x:c r="F7" s="17" t="inlineStr">
        <x:is>
          <x:t xml:space="preserve">Penting</x:t>
        </x:is>
      </x:c>
      <x:c r="G7" s="17" t="inlineStr">
        <x:is>
          <x:t xml:space="preserve">Bukan premi bruto IFRS 4</x:t>
        </x:is>
      </x:c>
    </x:row>
    <x:row r="8">
      <x:c r="A8" s="9" t="inlineStr">
        <x:is>
          <x:t xml:space="preserve">PL</x:t>
        </x:is>
      </x:c>
      <x:c r="B8" s="9" t="inlineStr">
        <x:is>
          <x:t xml:space="preserve">Insurance service expense</x:t>
        </x:is>
      </x:c>
      <x:c r="C8" s="17" t="inlineStr">
        <x:is>
          <x:t xml:space="preserve">Beban jasa asuransi</x:t>
        </x:is>
      </x:c>
      <x:c r="D8" s="17" t="inlineStr">
        <x:is>
          <x:t xml:space="preserve">IFRS 17</x:t>
        </x:is>
      </x:c>
      <x:c r="E8" s="17" t="inlineStr">
        <x:is>
          <x:t xml:space="preserve">Input_PL_OCI</x:t>
        </x:is>
      </x:c>
      <x:c r="F8" s="17" t="inlineStr">
        <x:is>
          <x:t xml:space="preserve">Penting</x:t>
        </x:is>
      </x:c>
      <x:c r="G8" s="17" t="inlineStr">
        <x:is>
          <x:t xml:space="preserve">Klaim/manfaat dan biaya langsung</x:t>
        </x:is>
      </x:c>
    </x:row>
    <x:row r="9">
      <x:c r="A9" s="9" t="inlineStr">
        <x:is>
          <x:t xml:space="preserve">PL</x:t>
        </x:is>
      </x:c>
      <x:c r="B9" s="9" t="inlineStr">
        <x:is>
          <x:t xml:space="preserve">Net expense/(income) from reinsurance contracts held</x:t>
        </x:is>
      </x:c>
      <x:c r="C9" s="17" t="inlineStr">
        <x:is>
          <x:t xml:space="preserve">Beban/(pendapatan) bersih reasuransi</x:t>
        </x:is>
      </x:c>
      <x:c r="D9" s="17" t="inlineStr">
        <x:is>
          <x:t xml:space="preserve">IFRS 17</x:t>
        </x:is>
      </x:c>
      <x:c r="E9" s="17" t="inlineStr">
        <x:is>
          <x:t xml:space="preserve">Input_PL_OCI</x:t>
        </x:is>
      </x:c>
      <x:c r="F9" s="17" t="inlineStr">
        <x:is>
          <x:t xml:space="preserve">Penting</x:t>
        </x:is>
      </x:c>
      <x:c r="G9" s="17" t="inlineStr">
        <x:is>
          <x:t xml:space="preserve">Offset proteksi reasuransi</x:t>
        </x:is>
      </x:c>
    </x:row>
    <x:row r="10">
      <x:c r="A10" s="9" t="inlineStr">
        <x:is>
          <x:t xml:space="preserve">PL</x:t>
        </x:is>
      </x:c>
      <x:c r="B10" s="9" t="inlineStr">
        <x:is>
          <x:t xml:space="preserve">Net investment result / investment income - net</x:t>
        </x:is>
      </x:c>
      <x:c r="C10" s="17" t="inlineStr">
        <x:is>
          <x:t xml:space="preserve">Hasil investasi neto</x:t>
        </x:is>
      </x:c>
      <x:c r="D10" s="17" t="inlineStr">
        <x:is>
          <x:t xml:space="preserve">IFRS 9</x:t>
        </x:is>
      </x:c>
      <x:c r="E10" s="17" t="inlineStr">
        <x:is>
          <x:t xml:space="preserve">Input_PL_OCI</x:t>
        </x:is>
      </x:c>
      <x:c r="F10" s="17" t="inlineStr">
        <x:is>
          <x:t xml:space="preserve">Penting</x:t>
        </x:is>
      </x:c>
      <x:c r="G10" s="17" t="inlineStr">
        <x:is>
          <x:t xml:space="preserve">Profitabilitas investasi</x:t>
        </x:is>
      </x:c>
    </x:row>
    <x:row r="11">
      <x:c r="A11" s="9" t="inlineStr">
        <x:is>
          <x:t xml:space="preserve">IFRS17</x:t>
        </x:is>
      </x:c>
      <x:c r="B11" s="9" t="inlineStr">
        <x:is>
          <x:t xml:space="preserve">Opening CSM</x:t>
        </x:is>
      </x:c>
      <x:c r="C11" s="17" t="inlineStr">
        <x:is>
          <x:t xml:space="preserve">Opening contractual service margin</x:t>
        </x:is>
      </x:c>
      <x:c r="D11" s="17" t="inlineStr">
        <x:is>
          <x:t xml:space="preserve">IFRS 17</x:t>
        </x:is>
      </x:c>
      <x:c r="E11" s="17" t="inlineStr">
        <x:is>
          <x:t xml:space="preserve">Input_IFRS17_Detail</x:t>
        </x:is>
      </x:c>
      <x:c r="F11" s="17" t="inlineStr">
        <x:is>
          <x:t xml:space="preserve">Penting</x:t>
        </x:is>
      </x:c>
      <x:c r="G11" s="17" t="inlineStr">
        <x:is>
          <x:t xml:space="preserve">Profit masa depan</x:t>
        </x:is>
      </x:c>
    </x:row>
    <x:row r="12">
      <x:c r="A12" s="9" t="inlineStr">
        <x:is>
          <x:t xml:space="preserve">IFRS17</x:t>
        </x:is>
      </x:c>
      <x:c r="B12" s="9" t="inlineStr">
        <x:is>
          <x:t xml:space="preserve">Risk adjustment for non-financial risk</x:t>
        </x:is>
      </x:c>
      <x:c r="C12" s="17" t="inlineStr">
        <x:is>
          <x:t xml:space="preserve">Risk adjustment</x:t>
        </x:is>
      </x:c>
      <x:c r="D12" s="17" t="inlineStr">
        <x:is>
          <x:t xml:space="preserve">IFRS 17</x:t>
        </x:is>
      </x:c>
      <x:c r="E12" s="17" t="inlineStr">
        <x:is>
          <x:t xml:space="preserve">Input_IFRS17_Detail</x:t>
        </x:is>
      </x:c>
      <x:c r="F12" s="17" t="inlineStr">
        <x:is>
          <x:t xml:space="preserve">Penting</x:t>
        </x:is>
      </x:c>
      <x:c r="G12" s="17" t="inlineStr">
        <x:is>
          <x:t xml:space="preserve">Buffer risiko non-keuangan</x:t>
        </x:is>
      </x:c>
    </x:row>
    <x:row r="13">
      <x:c r="A13" s="9" t="inlineStr">
        <x:is>
          <x:t xml:space="preserve">IFRS9</x:t>
        </x:is>
      </x:c>
      <x:c r="B13" s="9" t="inlineStr">
        <x:is>
          <x:t xml:space="preserve">Stage 1/2/3 exposures &amp; allowances</x:t>
        </x:is>
      </x:c>
      <x:c r="C13" s="17" t="inlineStr">
        <x:is>
          <x:t xml:space="preserve">Eksposur ECL per stage dan allowance</x:t>
        </x:is>
      </x:c>
      <x:c r="D13" s="17" t="inlineStr">
        <x:is>
          <x:t xml:space="preserve">IFRS 9</x:t>
        </x:is>
      </x:c>
      <x:c r="E13" s="17" t="inlineStr">
        <x:is>
          <x:t xml:space="preserve">Input_IFRS9_Detail</x:t>
        </x:is>
      </x:c>
      <x:c r="F13" s="17" t="inlineStr">
        <x:is>
          <x:t xml:space="preserve">Penting</x:t>
        </x:is>
      </x:c>
      <x:c r="G13" s="17" t="inlineStr">
        <x:is>
          <x:t xml:space="preserve">Dasar analisis kualitas kredit</x:t>
        </x:is>
      </x:c>
    </x:row>
    <x:row r="14">
      <x:c r="A14" s="9" t="inlineStr">
        <x:is>
          <x:t xml:space="preserve">IFRS9</x:t>
        </x:is>
      </x:c>
      <x:c r="B14" s="9" t="inlineStr">
        <x:is>
          <x:t xml:space="preserve">FVOCI reserve closing</x:t>
        </x:is>
      </x:c>
      <x:c r="C14" s="17" t="inlineStr">
        <x:is>
          <x:t xml:space="preserve">Cadangan FVOCI / fair value reserve</x:t>
        </x:is>
      </x:c>
      <x:c r="D14" s="17" t="inlineStr">
        <x:is>
          <x:t xml:space="preserve">IFRS 9</x:t>
        </x:is>
      </x:c>
      <x:c r="E14" s="17" t="inlineStr">
        <x:is>
          <x:t xml:space="preserve">Input_IFRS9_Detail</x:t>
        </x:is>
      </x:c>
      <x:c r="F14" s="17" t="inlineStr">
        <x:is>
          <x:t xml:space="preserve">Penting</x:t>
        </x:is>
      </x:c>
      <x:c r="G14" s="17" t="inlineStr">
        <x:is>
          <x:t xml:space="preserve">Sensitivitas OCI</x:t>
        </x:is>
      </x:c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8" customWidth="1"/>
    <x:col min="3" max="3" width="42" customWidth="1"/>
    <x:col min="4" max="4" width="12" customWidth="1"/>
    <x:col min="5" max="5" width="12" customWidth="1"/>
    <x:col min="6" max="6" width="12" customWidth="1"/>
    <x:col min="7" max="7" width="26" customWidth="1"/>
    <x:col min="8" max="8" width="18" customWidth="1"/>
  </x:cols>
  <x:sheetData>
    <x:row r="1">
      <x:c r="A1" s="1" t="inlineStr">
        <x:is>
          <x:t xml:space="preserve">RASIO KEUANGAN OTOMATIS – KHUSUS ASURANSI JIWA</x:t>
        </x:is>
      </x:c>
    </x:row>
    <x:row r="2">
      <x:c r="A2" s="4" t="inlineStr">
        <x:is>
          <x:t xml:space="preserve">Kategori</x:t>
        </x:is>
      </x:c>
      <x:c r="B2" s="4" t="inlineStr">
        <x:is>
          <x:t xml:space="preserve">Rasio</x:t>
        </x:is>
      </x:c>
      <x:c r="C2" s="4" t="inlineStr">
        <x:is>
          <x:t xml:space="preserve">Rumus</x:t>
        </x:is>
      </x:c>
      <x:c r="D2" s="4" t="inlineStr">
        <x:is>
          <x:t xml:space="preserve">CY</x:t>
        </x:is>
      </x:c>
      <x:c r="E2" s="4" t="inlineStr">
        <x:is>
          <x:t xml:space="preserve">PY</x:t>
        </x:is>
      </x:c>
      <x:c r="F2" s="4" t="inlineStr">
        <x:is>
          <x:t xml:space="preserve">PPY</x:t>
        </x:is>
      </x:c>
      <x:c r="G2" s="4" t="inlineStr">
        <x:is>
          <x:t xml:space="preserve">Interpretasi otomatis</x:t>
        </x:is>
      </x:c>
      <x:c r="H2" s="4" t="inlineStr">
        <x:is>
          <x:t xml:space="preserve">Catatan</x:t>
        </x:is>
      </x:c>
    </x:row>
    <x:row r="3">
      <x:c r="A3" s="9" t="inlineStr">
        <x:is>
          <x:t xml:space="preserve">Profitabilitas</x:t>
        </x:is>
      </x:c>
      <x:c r="B3" s="9" t="inlineStr">
        <x:is>
          <x:t xml:space="preserve">ROA</x:t>
        </x:is>
      </x:c>
      <x:c r="C3" s="17" t="inlineStr">
        <x:is>
          <x:t xml:space="preserve">Profit for the year / Total assets</x:t>
        </x:is>
      </x:c>
      <x:c r="D3" s="11">
        <x:f>IFERROR(Input_PL_OCI!C16/Input_SFP!C18,"")</x:f>
      </x:c>
      <x:c r="E3" s="11">
        <x:f>IFERROR(Input_PL_OCI!D16/Input_SFP!D18,"")</x:f>
      </x:c>
      <x:c r="F3" s="11">
        <x:f>IFERROR(Input_PL_OCI!E16/Input_SFP!E18,"")</x:f>
      </x:c>
      <x:c r="G3" s="17" t="str">
        <x:f>IF(D3&gt;=Setup!$B$15,"Sehat","Perlu perhatian")</x:f>
        <x:v>Perlu perhatian</x:v>
      </x:c>
      <x:c r="H3" s="9" t="inlineStr">
        <x:is>
          <x:t xml:space="preserve"/>
        </x:is>
      </x:c>
    </x:row>
    <x:row r="4">
      <x:c r="A4" s="9" t="inlineStr">
        <x:is>
          <x:t xml:space="preserve">Profitabilitas</x:t>
        </x:is>
      </x:c>
      <x:c r="B4" s="9" t="inlineStr">
        <x:is>
          <x:t xml:space="preserve">ROE</x:t>
        </x:is>
      </x:c>
      <x:c r="C4" s="17" t="inlineStr">
        <x:is>
          <x:t xml:space="preserve">Profit for the year / Total equity</x:t>
        </x:is>
      </x:c>
      <x:c r="D4" s="11">
        <x:f>IFERROR(Input_PL_OCI!C16/Input_SFP!C34,"")</x:f>
      </x:c>
      <x:c r="E4" s="11">
        <x:f>IFERROR(Input_PL_OCI!D16/Input_SFP!D34,"")</x:f>
      </x:c>
      <x:c r="F4" s="11">
        <x:f>IFERROR(Input_PL_OCI!E16/Input_SFP!E34,"")</x:f>
      </x:c>
      <x:c r="G4" s="17" t="str">
        <x:f>IF(D4&gt;=Setup!$B$16,"Sehat","Perlu perhatian")</x:f>
        <x:v>Perlu perhatian</x:v>
      </x:c>
      <x:c r="H4" s="9" t="inlineStr">
        <x:is>
          <x:t xml:space="preserve"/>
        </x:is>
      </x:c>
    </x:row>
    <x:row r="5">
      <x:c r="A5" s="9" t="inlineStr">
        <x:is>
          <x:t xml:space="preserve">Margin</x:t>
        </x:is>
      </x:c>
      <x:c r="B5" s="9" t="inlineStr">
        <x:is>
          <x:t xml:space="preserve">Insurance service result margin</x:t>
        </x:is>
      </x:c>
      <x:c r="C5" s="17" t="inlineStr">
        <x:is>
          <x:t xml:space="preserve">Insurance service result / Insurance revenue</x:t>
        </x:is>
      </x:c>
      <x:c r="D5" s="11">
        <x:f>IFERROR(Input_IFRS17_Detail!C9/Input_IFRS17_Detail!C3,"")</x:f>
      </x:c>
      <x:c r="E5" s="11">
        <x:f>IFERROR(Input_IFRS17_Detail!D9/Input_IFRS17_Detail!D3,"")</x:f>
      </x:c>
      <x:c r="F5" s="11">
        <x:f>IFERROR(Input_IFRS17_Detail!E9/Input_IFRS17_Detail!E3,"")</x:f>
      </x:c>
      <x:c r="G5" s="17" t="str">
        <x:f>IF(D5&gt;=Setup!$B$17,"Memadai","Tipis / tertekan")</x:f>
        <x:v>Tipis / tertekan</x:v>
      </x:c>
      <x:c r="H5" s="9" t="inlineStr">
        <x:is>
          <x:t xml:space="preserve"/>
        </x:is>
      </x:c>
    </x:row>
    <x:row r="6">
      <x:c r="A6" s="9" t="inlineStr">
        <x:is>
          <x:t xml:space="preserve">Margin</x:t>
        </x:is>
      </x:c>
      <x:c r="B6" s="9" t="inlineStr">
        <x:is>
          <x:t xml:space="preserve">Net margin</x:t>
        </x:is>
      </x:c>
      <x:c r="C6" s="17" t="inlineStr">
        <x:is>
          <x:t xml:space="preserve">Profit for the year / Total income</x:t>
        </x:is>
      </x:c>
      <x:c r="D6" s="11">
        <x:f>IFERROR(Input_PL_OCI!C16/Input_PL_OCI!C22,"")</x:f>
      </x:c>
      <x:c r="E6" s="11">
        <x:f>IFERROR(Input_PL_OCI!D16/Input_PL_OCI!D22,"")</x:f>
      </x:c>
      <x:c r="F6" s="11">
        <x:f>IFERROR(Input_PL_OCI!E16/Input_PL_OCI!E22,"")</x:f>
      </x:c>
      <x:c r="G6" s="17" t="str">
        <x:f>IF(D6&gt;=Setup!$B$18,"Baik","Tipis")</x:f>
        <x:v>Tipis</x:v>
      </x:c>
      <x:c r="H6" s="9" t="inlineStr">
        <x:is>
          <x:t xml:space="preserve"/>
        </x:is>
      </x:c>
    </x:row>
    <x:row r="7">
      <x:c r="A7" s="9" t="inlineStr">
        <x:is>
          <x:t xml:space="preserve">Leverage</x:t>
        </x:is>
      </x:c>
      <x:c r="B7" s="9" t="inlineStr">
        <x:is>
          <x:t xml:space="preserve">Liabilities / Equity</x:t>
        </x:is>
      </x:c>
      <x:c r="C7" s="17" t="inlineStr">
        <x:is>
          <x:t xml:space="preserve">Total liabilities / Total equity</x:t>
        </x:is>
      </x:c>
      <x:c r="D7" s="19">
        <x:f>IFERROR(Input_SFP!C26/Input_SFP!C34,"")</x:f>
      </x:c>
      <x:c r="E7" s="19">
        <x:f>IFERROR(Input_SFP!D26/Input_SFP!D34,"")</x:f>
      </x:c>
      <x:c r="F7" s="19">
        <x:f>IFERROR(Input_SFP!E26/Input_SFP!E34,"")</x:f>
      </x:c>
      <x:c r="G7" s="17" t="str">
        <x:f>IF(D7&lt;=Setup!$B$14,"Terkendali","Tinggi")</x:f>
        <x:v>Terkendali</x:v>
      </x:c>
      <x:c r="H7" s="9" t="inlineStr">
        <x:is>
          <x:t xml:space="preserve"/>
        </x:is>
      </x:c>
    </x:row>
    <x:row r="8">
      <x:c r="A8" s="9" t="inlineStr">
        <x:is>
          <x:t xml:space="preserve">Leverage</x:t>
        </x:is>
      </x:c>
      <x:c r="B8" s="9" t="inlineStr">
        <x:is>
          <x:t xml:space="preserve">Liabilities / Assets</x:t>
        </x:is>
      </x:c>
      <x:c r="C8" s="17" t="inlineStr">
        <x:is>
          <x:t xml:space="preserve">Total liabilities / Total assets</x:t>
        </x:is>
      </x:c>
      <x:c r="D8" s="11">
        <x:f>IFERROR(Input_SFP!C26/Input_SFP!C18,"")</x:f>
      </x:c>
      <x:c r="E8" s="11">
        <x:f>IFERROR(Input_SFP!D26/Input_SFP!D18,"")</x:f>
      </x:c>
      <x:c r="F8" s="11">
        <x:f>IFERROR(Input_SFP!E26/Input_SFP!E18,"")</x:f>
      </x:c>
      <x:c r="G8" s="17" t="str">
        <x:f>IF(D8&lt;0.90,"Masih moderat","Tinggi")</x:f>
        <x:v>Masih moderat</x:v>
      </x:c>
      <x:c r="H8" s="9" t="inlineStr">
        <x:is>
          <x:t xml:space="preserve"/>
        </x:is>
      </x:c>
    </x:row>
    <x:row r="9">
      <x:c r="A9" s="9" t="inlineStr">
        <x:is>
          <x:t xml:space="preserve">Likuiditas</x:t>
        </x:is>
      </x:c>
      <x:c r="B9" s="9" t="inlineStr">
        <x:is>
          <x:t xml:space="preserve">Cash / Liabilities</x:t>
        </x:is>
      </x:c>
      <x:c r="C9" s="17" t="inlineStr">
        <x:is>
          <x:t xml:space="preserve">Cash &amp; equivalents / Total liabilities</x:t>
        </x:is>
      </x:c>
      <x:c r="D9" s="11">
        <x:f>IFERROR(Input_SFP!C3/Input_SFP!C26,"")</x:f>
      </x:c>
      <x:c r="E9" s="11">
        <x:f>IFERROR(Input_SFP!D3/Input_SFP!D26,"")</x:f>
      </x:c>
      <x:c r="F9" s="11">
        <x:f>IFERROR(Input_SFP!E3/Input_SFP!E26,"")</x:f>
      </x:c>
      <x:c r="G9" s="17" t="str">
        <x:f>IF(D9&gt;=Setup!$B$13,"Likuiditas awal memadai","Perlu review likuiditas")</x:f>
        <x:v>Perlu review likuiditas</x:v>
      </x:c>
      <x:c r="H9" s="9" t="inlineStr">
        <x:is>
          <x:t xml:space="preserve"/>
        </x:is>
      </x:c>
    </x:row>
    <x:row r="10">
      <x:c r="A10" s="9" t="inlineStr">
        <x:is>
          <x:t xml:space="preserve">Portofolio</x:t>
        </x:is>
      </x:c>
      <x:c r="B10" s="9" t="inlineStr">
        <x:is>
          <x:t xml:space="preserve">Investment assets / Total assets</x:t>
        </x:is>
      </x:c>
      <x:c r="C10" s="17" t="inlineStr">
        <x:is>
          <x:t xml:space="preserve">(FVTPL+FVOCI+AC) / Total assets</x:t>
        </x:is>
      </x:c>
      <x:c r="D10" s="11">
        <x:f>IFERROR(SUM(Input_SFP!C5:C8)/Input_SFP!C18,"")</x:f>
      </x:c>
      <x:c r="E10" s="11">
        <x:f>IFERROR(SUM(Input_SFP!D5:D8)/Input_SFP!D18,"")</x:f>
      </x:c>
      <x:c r="F10" s="11">
        <x:f>IFERROR(SUM(Input_SFP!E5:E8)/Input_SFP!E18,"")</x:f>
      </x:c>
      <x:c r="G10" s="17" t="str">
        <x:f>IF(D10&gt;0.50,"Aset investasi dominan","Porsi investasi relatif rendah")</x:f>
        <x:v>Porsi investasi relatif rendah</x:v>
      </x:c>
      <x:c r="H10" s="9" t="inlineStr">
        <x:is>
          <x:t xml:space="preserve"/>
        </x:is>
      </x:c>
    </x:row>
    <x:row r="11">
      <x:c r="A11" s="9" t="inlineStr">
        <x:is>
          <x:t xml:space="preserve">IFRS 17</x:t>
        </x:is>
      </x:c>
      <x:c r="B11" s="9" t="inlineStr">
        <x:is>
          <x:t xml:space="preserve">Insurance contract liabilities / Equity</x:t>
        </x:is>
      </x:c>
      <x:c r="C11" s="17" t="inlineStr">
        <x:is>
          <x:t xml:space="preserve">Insurance contract liabilities / Equity</x:t>
        </x:is>
      </x:c>
      <x:c r="D11" s="11">
        <x:f>IFERROR(Input_IFRS17_Detail!C13/Input_SFP!C34,"")</x:f>
      </x:c>
      <x:c r="E11" s="11">
        <x:f>IFERROR(Input_IFRS17_Detail!D13/Input_SFP!D34,"")</x:f>
      </x:c>
      <x:c r="F11" s="11">
        <x:f>IFERROR(Input_IFRS17_Detail!E13/Input_SFP!E34,"")</x:f>
      </x:c>
      <x:c r="G11" s="17" t="str">
        <x:f>IF(D11&gt;1,"Kewajiban kontrak besar vs ekuitas","Relatif ringan")</x:f>
        <x:v>Relatif ringan</x:v>
      </x:c>
      <x:c r="H11" s="9" t="inlineStr">
        <x:is>
          <x:t xml:space="preserve"/>
        </x:is>
      </x:c>
    </x:row>
    <x:row r="12">
      <x:c r="A12" s="9" t="inlineStr">
        <x:is>
          <x:t xml:space="preserve">IFRS 17</x:t>
        </x:is>
      </x:c>
      <x:c r="B12" s="9" t="inlineStr">
        <x:is>
          <x:t xml:space="preserve">CSM / Equity</x:t>
        </x:is>
      </x:c>
      <x:c r="C12" s="17" t="inlineStr">
        <x:is>
          <x:t xml:space="preserve">Closing CSM / Equity</x:t>
        </x:is>
      </x:c>
      <x:c r="D12" s="11">
        <x:f>IFERROR(Input_IFRS17_Detail!C26/Input_SFP!C34,"")</x:f>
      </x:c>
      <x:c r="E12" s="11">
        <x:f>IFERROR(Input_IFRS17_Detail!D26/Input_SFP!D34,"")</x:f>
      </x:c>
      <x:c r="F12" s="11">
        <x:f>IFERROR(Input_IFRS17_Detail!E26/Input_SFP!E34,"")</x:f>
      </x:c>
      <x:c r="G12" s="17" t="str">
        <x:f>IF(D12&gt;=Setup!$B$19,"Buffer laba masa depan ada","CSM tipis / belum terisi")</x:f>
        <x:v>CSM tipis / belum terisi</x:v>
      </x:c>
      <x:c r="H12" s="9" t="inlineStr">
        <x:is>
          <x:t xml:space="preserve"/>
        </x:is>
      </x:c>
    </x:row>
    <x:row r="13">
      <x:c r="A13" s="9" t="inlineStr">
        <x:is>
          <x:t xml:space="preserve">IFRS 17</x:t>
        </x:is>
      </x:c>
      <x:c r="B13" s="9" t="inlineStr">
        <x:is>
          <x:t xml:space="preserve">CSM / Insurance revenue</x:t>
        </x:is>
      </x:c>
      <x:c r="C13" s="17" t="inlineStr">
        <x:is>
          <x:t xml:space="preserve">Closing CSM / Insurance revenue</x:t>
        </x:is>
      </x:c>
      <x:c r="D13" s="11">
        <x:f>IFERROR(Input_IFRS17_Detail!C26/Input_IFRS17_Detail!C3,"")</x:f>
      </x:c>
      <x:c r="E13" s="11">
        <x:f>IFERROR(Input_IFRS17_Detail!D26/Input_IFRS17_Detail!D3,"")</x:f>
      </x:c>
      <x:c r="F13" s="11">
        <x:f>IFERROR(Input_IFRS17_Detail!E26/Input_IFRS17_Detail!E3,"")</x:f>
      </x:c>
      <x:c r="G13" s="17" t="str">
        <x:f>IF(D13&gt;0.20,"Stock laba masa depan kuat","Stock laba masa depan terbatas")</x:f>
        <x:v>Stock laba masa depan terbatas</x:v>
      </x:c>
      <x:c r="H13" s="9" t="inlineStr">
        <x:is>
          <x:t xml:space="preserve"/>
        </x:is>
      </x:c>
    </x:row>
    <x:row r="14">
      <x:c r="A14" s="9" t="inlineStr">
        <x:is>
          <x:t xml:space="preserve">IFRS 17</x:t>
        </x:is>
      </x:c>
      <x:c r="B14" s="9" t="inlineStr">
        <x:is>
          <x:t xml:space="preserve">Risk adjustment / Insurance liabilities</x:t>
        </x:is>
      </x:c>
      <x:c r="C14" s="17" t="inlineStr">
        <x:is>
          <x:t xml:space="preserve">RA / Insurance contract liabilities</x:t>
        </x:is>
      </x:c>
      <x:c r="D14" s="11">
        <x:f>IFERROR(Input_IFRS17_Detail!C19/Input_IFRS17_Detail!C13,"")</x:f>
      </x:c>
      <x:c r="E14" s="11">
        <x:f>IFERROR(Input_IFRS17_Detail!D19/Input_IFRS17_Detail!D13,"")</x:f>
      </x:c>
      <x:c r="F14" s="11">
        <x:f>IFERROR(Input_IFRS17_Detail!E19/Input_IFRS17_Detail!E13,"")</x:f>
      </x:c>
      <x:c r="G14" s="17" t="str">
        <x:f>IF(D14&gt;0.02,"Buffer risiko terlihat","Buffer risiko tipis / data minim")</x:f>
        <x:v>Buffer risiko tipis / data minim</x:v>
      </x:c>
      <x:c r="H14" s="9" t="inlineStr">
        <x:is>
          <x:t xml:space="preserve"/>
        </x:is>
      </x:c>
    </x:row>
    <x:row r="15">
      <x:c r="A15" s="9" t="inlineStr">
        <x:is>
          <x:t xml:space="preserve">IFRS 9</x:t>
        </x:is>
      </x:c>
      <x:c r="B15" s="9" t="inlineStr">
        <x:is>
          <x:t xml:space="preserve">ECL coverage</x:t>
        </x:is>
      </x:c>
      <x:c r="C15" s="17" t="inlineStr">
        <x:is>
          <x:t xml:space="preserve">Total allowance / Financial assets subject to ECL</x:t>
        </x:is>
      </x:c>
      <x:c r="D15" s="11">
        <x:f>IFERROR(Input_IFRS9_Detail!C15/Input_IFRS9_Detail!C8,"")</x:f>
      </x:c>
      <x:c r="E15" s="11">
        <x:f>IFERROR(Input_IFRS9_Detail!D15/Input_IFRS9_Detail!D8,"")</x:f>
      </x:c>
      <x:c r="F15" s="11">
        <x:f>IFERROR(Input_IFRS9_Detail!E15/Input_IFRS9_Detail!E8,"")</x:f>
      </x:c>
      <x:c r="G15" s="17" t="str">
        <x:f>IF(D15&gt;=Setup!$B$20,"Coverage memadai","Coverage tipis / belum lengkap")</x:f>
        <x:v>Coverage tipis / belum lengkap</x:v>
      </x:c>
      <x:c r="H15" s="9" t="inlineStr">
        <x:is>
          <x:t xml:space="preserve"/>
        </x:is>
      </x:c>
    </x:row>
    <x:row r="16">
      <x:c r="A16" s="9" t="inlineStr">
        <x:is>
          <x:t xml:space="preserve">IFRS 9</x:t>
        </x:is>
      </x:c>
      <x:c r="B16" s="9" t="inlineStr">
        <x:is>
          <x:t xml:space="preserve">Stage 2+3 ratio</x:t>
        </x:is>
      </x:c>
      <x:c r="C16" s="17" t="inlineStr">
        <x:is>
          <x:t xml:space="preserve">(Stage 2 + Stage 3 exposure) / total ECL assets</x:t>
        </x:is>
      </x:c>
      <x:c r="D16" s="11">
        <x:f>IFERROR((Input_IFRS9_Detail!C10+Input_IFRS9_Detail!C11)/Input_IFRS9_Detail!C8,"")</x:f>
      </x:c>
      <x:c r="E16" s="11">
        <x:f>IFERROR((Input_IFRS9_Detail!D10+Input_IFRS9_Detail!D11)/Input_IFRS9_Detail!D8,"")</x:f>
      </x:c>
      <x:c r="F16" s="11">
        <x:f>IFERROR((Input_IFRS9_Detail!E10+Input_IFRS9_Detail!E11)/Input_IFRS9_Detail!E8,"")</x:f>
      </x:c>
      <x:c r="G16" s="17" t="str">
        <x:f>IF(D16&lt;=Setup!$B$21,"Kualitas kredit relatif baik","Migrasi kredit meningkat")</x:f>
        <x:v>Kualitas kredit relatif baik</x:v>
      </x:c>
      <x:c r="H16" s="9" t="inlineStr">
        <x:is>
          <x:t xml:space="preserve"/>
        </x:is>
      </x:c>
    </x:row>
    <x:row r="17">
      <x:c r="A17" s="9" t="inlineStr">
        <x:is>
          <x:t xml:space="preserve">IFRS 9</x:t>
        </x:is>
      </x:c>
      <x:c r="B17" s="9" t="inlineStr">
        <x:is>
          <x:t xml:space="preserve">FVOCI reserve / Equity</x:t>
        </x:is>
      </x:c>
      <x:c r="C17" s="17" t="inlineStr">
        <x:is>
          <x:t xml:space="preserve">FVOCI reserve / Equity</x:t>
        </x:is>
      </x:c>
      <x:c r="D17" s="11">
        <x:f>IFERROR(Input_IFRS9_Detail!C21/Input_SFP!C34,"")</x:f>
      </x:c>
      <x:c r="E17" s="11">
        <x:f>IFERROR(Input_IFRS9_Detail!D21/Input_SFP!D34,"")</x:f>
      </x:c>
      <x:c r="F17" s="11">
        <x:f>IFERROR(Input_IFRS9_Detail!E21/Input_SFP!E34,"")</x:f>
      </x:c>
      <x:c r="G17" s="17" t="str">
        <x:f>IF(D17&gt;=0,"Cadangan OCI positif","Cadangan OCI negatif")</x:f>
        <x:v>Cadangan OCI positif</x:v>
      </x:c>
      <x:c r="H17" s="9" t="inlineStr">
        <x:is>
          <x:t xml:space="preserve"/>
        </x:is>
      </x:c>
    </x:row>
    <x:row r="18">
      <x:c r="A18" s="9" t="inlineStr">
        <x:is>
          <x:t xml:space="preserve">Investasi</x:t>
        </x:is>
      </x:c>
      <x:c r="B18" s="9" t="inlineStr">
        <x:is>
          <x:t xml:space="preserve">Portfolio yield</x:t>
        </x:is>
      </x:c>
      <x:c r="C18" s="17" t="inlineStr">
        <x:is>
          <x:t xml:space="preserve">Investment income / Avg investment assets</x:t>
        </x:is>
      </x:c>
      <x:c r="D18" s="11">
        <x:f>IFERROR(Input_IFRS9_Detail!C25,"")</x:f>
      </x:c>
      <x:c r="E18" s="11">
        <x:f>IFERROR(Input_IFRS9_Detail!D25,"")</x:f>
      </x:c>
      <x:c r="F18" s="11">
        <x:f>IFERROR(Input_IFRS9_Detail!E25,"")</x:f>
      </x:c>
      <x:c r="G18" s="17" t="str">
        <x:f>IF(D18&gt;0,"Yield tersedia","Belum terisi")</x:f>
        <x:v>Belum terisi</x:v>
      </x:c>
      <x:c r="H18" s="9" t="inlineStr">
        <x:is>
          <x:t xml:space="preserve"/>
        </x:is>
      </x:c>
    </x:row>
    <x:row r="19">
      <x:c r="A19" s="9" t="inlineStr">
        <x:is>
          <x:t xml:space="preserve">Arus kas</x:t>
        </x:is>
      </x:c>
      <x:c r="B19" s="9" t="inlineStr">
        <x:is>
          <x:t xml:space="preserve">OCF / Profit</x:t>
        </x:is>
      </x:c>
      <x:c r="C19" s="17" t="inlineStr">
        <x:is>
          <x:t xml:space="preserve">Operating cash flow / Profit</x:t>
        </x:is>
      </x:c>
      <x:c r="D19" s="11">
        <x:f>IFERROR(Input_CF!C3/Input_PL_OCI!C16,"")</x:f>
      </x:c>
      <x:c r="E19" s="11">
        <x:f>IFERROR(Input_CF!D3/Input_PL_OCI!D16,"")</x:f>
      </x:c>
      <x:c r="F19" s="11">
        <x:f>IFERROR(Input_CF!E3/Input_PL_OCI!E16,"")</x:f>
      </x:c>
      <x:c r="G19" s="17" t="str">
        <x:f>IF(D19&gt;=Setup!$B$22,"Konversi laba ke kas baik","Kas operasi lemah vs laba")</x:f>
        <x:v>Kas operasi lemah vs laba</x:v>
      </x:c>
      <x:c r="H19" s="9" t="inlineStr">
        <x:is>
          <x:t xml:space="preserve"/>
        </x:is>
      </x:c>
    </x:row>
    <x:row r="20">
      <x:c r="A20" s="9" t="inlineStr">
        <x:is>
          <x:t xml:space="preserve">Arus kas</x:t>
        </x:is>
      </x:c>
      <x:c r="B20" s="9" t="inlineStr">
        <x:is>
          <x:t xml:space="preserve">Ending cash vs SFP cash</x:t>
        </x:is>
      </x:c>
      <x:c r="C20" s="17" t="inlineStr">
        <x:is>
          <x:t xml:space="preserve">Cash ending CF / Cash SFP</x:t>
        </x:is>
      </x:c>
      <x:c r="D20" s="11">
        <x:f>IFERROR(Input_CF!C8/Input_SFP!C3,"")</x:f>
      </x:c>
      <x:c r="E20" s="11">
        <x:f>IFERROR(Input_CF!D8/Input_SFP!D3,"")</x:f>
      </x:c>
      <x:c r="F20" s="11">
        <x:f>IFERROR(Input_CF!E8/Input_SFP!E3,"")</x:f>
      </x:c>
      <x:c r="G20" s="17" t="str">
        <x:f>IF(ABS(D20-1)&lt;0.02,"Konsisten","Perlu rekonsiliasi")</x:f>
        <x:v>Perlu rekonsiliasi</x:v>
      </x:c>
      <x:c r="H20" s="9" t="inlineStr">
        <x:is>
          <x:t xml:space="preserve"/>
        </x:is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28" customWidth="1"/>
    <x:col min="3" max="3" width="14" customWidth="1"/>
    <x:col min="4" max="4" width="14" customWidth="1"/>
    <x:col min="5" max="5" width="14" customWidth="1"/>
    <x:col min="6" max="6" width="14" customWidth="1"/>
    <x:col min="7" max="7" width="14" customWidth="1"/>
    <x:col min="8" max="8" width="14" customWidth="1"/>
    <x:col min="9" max="9" width="14" customWidth="1"/>
    <x:col min="10" max="10" width="10" customWidth="1"/>
  </x:cols>
  <x:sheetData>
    <x:row r="1">
      <x:c r="A1" s="1" t="inlineStr">
        <x:is>
          <x:t xml:space="preserve">COMMON SIZE, TREND, DAN GERAKAN 3 TAHUN</x:t>
        </x:is>
      </x:c>
    </x:row>
    <x:row r="2">
      <x:c r="A2" s="4" t="inlineStr">
        <x:is>
          <x:t xml:space="preserve">Statement</x:t>
        </x:is>
      </x:c>
      <x:c r="B2" s="4" t="inlineStr">
        <x:is>
          <x:t xml:space="preserve">Akun</x:t>
        </x:is>
      </x:c>
      <x:c r="C2" s="4" t="inlineStr">
        <x:is>
          <x:t xml:space="preserve">CY</x:t>
        </x:is>
      </x:c>
      <x:c r="D2" s="4" t="inlineStr">
        <x:is>
          <x:t xml:space="preserve">PY</x:t>
        </x:is>
      </x:c>
      <x:c r="E2" s="4" t="inlineStr">
        <x:is>
          <x:t xml:space="preserve">PPY</x:t>
        </x:is>
      </x:c>
      <x:c r="F2" s="4" t="inlineStr">
        <x:is>
          <x:t xml:space="preserve">Common size CY</x:t>
        </x:is>
      </x:c>
      <x:c r="G2" s="4" t="inlineStr">
        <x:is>
          <x:t xml:space="preserve">Common size PY</x:t>
        </x:is>
      </x:c>
      <x:c r="H2" s="4" t="inlineStr">
        <x:is>
          <x:t xml:space="preserve">Growth CY vs PY</x:t>
        </x:is>
      </x:c>
      <x:c r="I2" s="4" t="inlineStr">
        <x:is>
          <x:t xml:space="preserve">Growth PY vs PPY</x:t>
        </x:is>
      </x:c>
      <x:c r="J2" s="4" t="inlineStr">
        <x:is>
          <x:t xml:space="preserve">Arah</x:t>
        </x:is>
      </x:c>
    </x:row>
    <x:row r="3">
      <x:c r="A3" s="9" t="inlineStr">
        <x:is>
          <x:t xml:space="preserve">SFP</x:t>
        </x:is>
      </x:c>
      <x:c r="B3" s="9" t="inlineStr">
        <x:is>
          <x:t xml:space="preserve">Total assets</x:t>
        </x:is>
      </x:c>
      <x:c r="C3" s="17">
        <x:f>Input_SFP!C18</x:f>
        <x:v>0</x:v>
      </x:c>
      <x:c r="D3" s="17">
        <x:f>Input_SFP!D18</x:f>
        <x:v>0</x:v>
      </x:c>
      <x:c r="E3" s="17">
        <x:f>Input_SFP!E18</x:f>
        <x:v>0</x:v>
      </x:c>
      <x:c r="F3" s="11">
        <x:f>1</x:f>
        <x:v>1</x:v>
      </x:c>
      <x:c r="G3" s="11">
        <x:f>1</x:f>
        <x:v>1</x:v>
      </x:c>
      <x:c r="H3" s="20">
        <x:f>IFERROR((C3/D3)-1,"")</x:f>
      </x:c>
      <x:c r="I3" s="20">
        <x:f>IFERROR((D3/E3)-1,"")</x:f>
      </x:c>
      <x:c r="J3" s="9" t="str">
        <x:f>IF(H3&gt;0,"Naik","Turun")</x:f>
        <x:v>Turun</x:v>
      </x:c>
    </x:row>
    <x:row r="4">
      <x:c r="A4" s="9" t="inlineStr">
        <x:is>
          <x:t xml:space="preserve">SFP</x:t>
        </x:is>
      </x:c>
      <x:c r="B4" s="9" t="inlineStr">
        <x:is>
          <x:t xml:space="preserve">Total liabilities</x:t>
        </x:is>
      </x:c>
      <x:c r="C4" s="17">
        <x:f>Input_SFP!C26</x:f>
        <x:v>0</x:v>
      </x:c>
      <x:c r="D4" s="17">
        <x:f>Input_SFP!D26</x:f>
        <x:v>0</x:v>
      </x:c>
      <x:c r="E4" s="17">
        <x:f>Input_SFP!E26</x:f>
        <x:v>0</x:v>
      </x:c>
      <x:c r="F4" s="11">
        <x:f>IFERROR(C4/C3,"")</x:f>
      </x:c>
      <x:c r="G4" s="11">
        <x:f>IFERROR(D4/D3,"")</x:f>
      </x:c>
      <x:c r="H4" s="20">
        <x:f>IFERROR((C4/D4)-1,"")</x:f>
      </x:c>
      <x:c r="I4" s="20">
        <x:f>IFERROR((D4/E4)-1,"")</x:f>
      </x:c>
      <x:c r="J4" s="9" t="str">
        <x:f>IF(H4&gt;0,"Naik","Turun")</x:f>
        <x:v>Turun</x:v>
      </x:c>
    </x:row>
    <x:row r="5">
      <x:c r="A5" s="9" t="inlineStr">
        <x:is>
          <x:t xml:space="preserve">SFP</x:t>
        </x:is>
      </x:c>
      <x:c r="B5" s="9" t="inlineStr">
        <x:is>
          <x:t xml:space="preserve">Total equity</x:t>
        </x:is>
      </x:c>
      <x:c r="C5" s="17">
        <x:f>Input_SFP!C34</x:f>
        <x:v>0</x:v>
      </x:c>
      <x:c r="D5" s="17">
        <x:f>Input_SFP!D34</x:f>
        <x:v>0</x:v>
      </x:c>
      <x:c r="E5" s="17">
        <x:f>Input_SFP!E34</x:f>
        <x:v>0</x:v>
      </x:c>
      <x:c r="F5" s="11">
        <x:f>IFERROR(C5/C3,"")</x:f>
      </x:c>
      <x:c r="G5" s="11">
        <x:f>IFERROR(D5/D3,"")</x:f>
      </x:c>
      <x:c r="H5" s="20">
        <x:f>IFERROR((C5/D5)-1,"")</x:f>
      </x:c>
      <x:c r="I5" s="20">
        <x:f>IFERROR((D5/E5)-1,"")</x:f>
      </x:c>
      <x:c r="J5" s="9" t="str">
        <x:f>IF(H5&gt;0,"Naik","Turun")</x:f>
        <x:v>Turun</x:v>
      </x:c>
    </x:row>
    <x:row r="6">
      <x:c r="A6" s="9" t="inlineStr">
        <x:is>
          <x:t xml:space="preserve">PL</x:t>
        </x:is>
      </x:c>
      <x:c r="B6" s="9" t="inlineStr">
        <x:is>
          <x:t xml:space="preserve">Insurance revenue</x:t>
        </x:is>
      </x:c>
      <x:c r="C6" s="17">
        <x:f>Input_PL_OCI!C3</x:f>
        <x:v>0</x:v>
      </x:c>
      <x:c r="D6" s="17">
        <x:f>Input_PL_OCI!D3</x:f>
        <x:v>0</x:v>
      </x:c>
      <x:c r="E6" s="17">
        <x:f>Input_PL_OCI!E3</x:f>
        <x:v>0</x:v>
      </x:c>
      <x:c r="F6" s="11">
        <x:f>1</x:f>
        <x:v>1</x:v>
      </x:c>
      <x:c r="G6" s="11">
        <x:f>1</x:f>
        <x:v>1</x:v>
      </x:c>
      <x:c r="H6" s="20">
        <x:f>IFERROR((C6/D6)-1,"")</x:f>
      </x:c>
      <x:c r="I6" s="20">
        <x:f>IFERROR((D6/E6)-1,"")</x:f>
      </x:c>
      <x:c r="J6" s="9" t="str">
        <x:f>IF(H6&gt;0,"Naik","Turun")</x:f>
        <x:v>Turun</x:v>
      </x:c>
    </x:row>
    <x:row r="7">
      <x:c r="A7" s="9" t="inlineStr">
        <x:is>
          <x:t xml:space="preserve">PL</x:t>
        </x:is>
      </x:c>
      <x:c r="B7" s="9" t="inlineStr">
        <x:is>
          <x:t xml:space="preserve">Insurance service result</x:t>
        </x:is>
      </x:c>
      <x:c r="C7" s="17">
        <x:f>Input_PL_OCI!C6</x:f>
        <x:v>0</x:v>
      </x:c>
      <x:c r="D7" s="17">
        <x:f>Input_PL_OCI!D6</x:f>
        <x:v>0</x:v>
      </x:c>
      <x:c r="E7" s="17">
        <x:f>Input_PL_OCI!E6</x:f>
        <x:v>0</x:v>
      </x:c>
      <x:c r="F7" s="11">
        <x:f>IFERROR(C7/C6,"")</x:f>
      </x:c>
      <x:c r="G7" s="11">
        <x:f>IFERROR(D7/D6,"")</x:f>
      </x:c>
      <x:c r="H7" s="20">
        <x:f>IFERROR((C7/D7)-1,"")</x:f>
      </x:c>
      <x:c r="I7" s="20">
        <x:f>IFERROR((D7/E7)-1,"")</x:f>
      </x:c>
      <x:c r="J7" s="9" t="str">
        <x:f>IF(H7&gt;0,"Naik","Turun")</x:f>
        <x:v>Turun</x:v>
      </x:c>
    </x:row>
    <x:row r="8">
      <x:c r="A8" s="9" t="inlineStr">
        <x:is>
          <x:t xml:space="preserve">PL</x:t>
        </x:is>
      </x:c>
      <x:c r="B8" s="9" t="inlineStr">
        <x:is>
          <x:t xml:space="preserve">Profit for the year</x:t>
        </x:is>
      </x:c>
      <x:c r="C8" s="17">
        <x:f>Input_PL_OCI!C16</x:f>
        <x:v>0</x:v>
      </x:c>
      <x:c r="D8" s="17">
        <x:f>Input_PL_OCI!D16</x:f>
        <x:v>0</x:v>
      </x:c>
      <x:c r="E8" s="17">
        <x:f>Input_PL_OCI!E16</x:f>
        <x:v>0</x:v>
      </x:c>
      <x:c r="F8" s="11">
        <x:f>IFERROR(C8/Input_PL_OCI!C22,"")</x:f>
      </x:c>
      <x:c r="G8" s="11">
        <x:f>IFERROR(D8/Input_PL_OCI!D22,"")</x:f>
      </x:c>
      <x:c r="H8" s="20">
        <x:f>IFERROR((C8/D8)-1,"")</x:f>
      </x:c>
      <x:c r="I8" s="20">
        <x:f>IFERROR((D8/E8)-1,"")</x:f>
      </x:c>
      <x:c r="J8" s="9" t="str">
        <x:f>IF(H8&gt;0,"Naik","Turun")</x:f>
        <x:v>Turun</x:v>
      </x:c>
    </x:row>
    <x:row r="9">
      <x:c r="A9" s="9" t="inlineStr">
        <x:is>
          <x:t xml:space="preserve">IFRS17</x:t>
        </x:is>
      </x:c>
      <x:c r="B9" s="9" t="inlineStr">
        <x:is>
          <x:t xml:space="preserve">Insurance contract liabilities</x:t>
        </x:is>
      </x:c>
      <x:c r="C9" s="17">
        <x:f>Input_IFRS17_Detail!C13</x:f>
        <x:v>0</x:v>
      </x:c>
      <x:c r="D9" s="17">
        <x:f>Input_IFRS17_Detail!D13</x:f>
        <x:v>0</x:v>
      </x:c>
      <x:c r="E9" s="17">
        <x:f>Input_IFRS17_Detail!E13</x:f>
        <x:v>0</x:v>
      </x:c>
      <x:c r="F9" s="11">
        <x:f>IFERROR(C9/Input_SFP!C18,"")</x:f>
      </x:c>
      <x:c r="G9" s="11">
        <x:f>IFERROR(D9/Input_SFP!D18,"")</x:f>
      </x:c>
      <x:c r="H9" s="20">
        <x:f>IFERROR((C9/D9)-1,"")</x:f>
      </x:c>
      <x:c r="I9" s="20">
        <x:f>IFERROR((D9/E9)-1,"")</x:f>
      </x:c>
      <x:c r="J9" s="9" t="str">
        <x:f>IF(H9&gt;0,"Naik","Turun")</x:f>
        <x:v>Turun</x:v>
      </x:c>
    </x:row>
    <x:row r="10">
      <x:c r="A10" s="9" t="inlineStr">
        <x:is>
          <x:t xml:space="preserve">IFRS17</x:t>
        </x:is>
      </x:c>
      <x:c r="B10" s="9" t="inlineStr">
        <x:is>
          <x:t xml:space="preserve">Closing CSM</x:t>
        </x:is>
      </x:c>
      <x:c r="C10" s="17">
        <x:f>Input_IFRS17_Detail!C26</x:f>
        <x:v>0</x:v>
      </x:c>
      <x:c r="D10" s="17">
        <x:f>Input_IFRS17_Detail!D26</x:f>
        <x:v>0</x:v>
      </x:c>
      <x:c r="E10" s="17">
        <x:f>Input_IFRS17_Detail!E26</x:f>
        <x:v>0</x:v>
      </x:c>
      <x:c r="F10" s="11">
        <x:f>IFERROR(C10/Input_SFP!C34,"")</x:f>
      </x:c>
      <x:c r="G10" s="11">
        <x:f>IFERROR(D10/Input_SFP!D34,"")</x:f>
      </x:c>
      <x:c r="H10" s="20">
        <x:f>IFERROR((C10/D10)-1,"")</x:f>
      </x:c>
      <x:c r="I10" s="20">
        <x:f>IFERROR((D10/E10)-1,"")</x:f>
      </x:c>
      <x:c r="J10" s="9" t="str">
        <x:f>IF(H10&gt;0,"Naik","Turun")</x:f>
        <x:v>Turun</x:v>
      </x:c>
    </x:row>
    <x:row r="11">
      <x:c r="A11" s="9" t="inlineStr">
        <x:is>
          <x:t xml:space="preserve">IFRS9</x:t>
        </x:is>
      </x:c>
      <x:c r="B11" s="9" t="inlineStr">
        <x:is>
          <x:t xml:space="preserve">Total ECL allowance</x:t>
        </x:is>
      </x:c>
      <x:c r="C11" s="17">
        <x:f>Input_IFRS9_Detail!C15</x:f>
        <x:v>0</x:v>
      </x:c>
      <x:c r="D11" s="17">
        <x:f>Input_IFRS9_Detail!D15</x:f>
        <x:v>0</x:v>
      </x:c>
      <x:c r="E11" s="17">
        <x:f>Input_IFRS9_Detail!E15</x:f>
        <x:v>0</x:v>
      </x:c>
      <x:c r="F11" s="11">
        <x:f>IFERROR(C11/Input_IFRS9_Detail!C8,"")</x:f>
      </x:c>
      <x:c r="G11" s="11">
        <x:f>IFERROR(D11/Input_IFRS9_Detail!D8,"")</x:f>
      </x:c>
      <x:c r="H11" s="20">
        <x:f>IFERROR((C11/D11)-1,"")</x:f>
      </x:c>
      <x:c r="I11" s="20">
        <x:f>IFERROR((D11/E11)-1,"")</x:f>
      </x:c>
      <x:c r="J11" s="9" t="str">
        <x:f>IF(H11&gt;0,"Naik","Turun")</x:f>
        <x:v>Turun</x:v>
      </x:c>
    </x:row>
    <x:row r="12">
      <x:c r="A12" s="9" t="inlineStr">
        <x:is>
          <x:t xml:space="preserve">CF</x:t>
        </x:is>
      </x:c>
      <x:c r="B12" s="9" t="inlineStr">
        <x:is>
          <x:t xml:space="preserve">Operating cash flow</x:t>
        </x:is>
      </x:c>
      <x:c r="C12" s="17">
        <x:f>Input_CF!C3</x:f>
        <x:v>0</x:v>
      </x:c>
      <x:c r="D12" s="17">
        <x:f>Input_CF!D3</x:f>
        <x:v>0</x:v>
      </x:c>
      <x:c r="E12" s="17">
        <x:f>Input_CF!E3</x:f>
        <x:v>0</x:v>
      </x:c>
      <x:c r="F12" s="11">
        <x:f>IFERROR(C12/Input_PL_OCI!C16,"")</x:f>
      </x:c>
      <x:c r="G12" s="11">
        <x:f>IFERROR(D12/Input_PL_OCI!D16,"")</x:f>
      </x:c>
      <x:c r="H12" s="20">
        <x:f>IFERROR((C12/D12)-1,"")</x:f>
      </x:c>
      <x:c r="I12" s="20">
        <x:f>IFERROR((D12/E12)-1,"")</x:f>
      </x:c>
      <x:c r="J12" s="9" t="str">
        <x:f>IF(H12&gt;0,"Naik","Turun")</x:f>
        <x:v>Turun</x:v>
      </x:c>
    </x:row>
  </x:sheetData>
  <x:mergeCells>
    <x:mergeCell ref="A1:J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6" customWidth="1"/>
    <x:col min="2" max="2" width="14" customWidth="1"/>
    <x:col min="3" max="3" width="14" customWidth="1"/>
    <x:col min="4" max="4" width="12" customWidth="1"/>
    <x:col min="5" max="5" width="34" customWidth="1"/>
    <x:col min="6" max="6" width="26" customWidth="1"/>
    <x:col min="7" max="7" width="20" customWidth="1"/>
  </x:cols>
  <x:sheetData>
    <x:row r="1">
      <x:c r="A1" s="1" t="inlineStr">
        <x:is>
          <x:t xml:space="preserve">ANALISIS KHUSUS IFRS 17 / PSAK 117</x:t>
        </x:is>
      </x:c>
    </x:row>
    <x:row r="2">
      <x:c r="A2" s="4" t="inlineStr">
        <x:is>
          <x:t xml:space="preserve">Indikator</x:t>
        </x:is>
      </x:c>
      <x:c r="B2" s="4" t="inlineStr">
        <x:is>
          <x:t xml:space="preserve">CY</x:t>
        </x:is>
      </x:c>
      <x:c r="C2" s="4" t="inlineStr">
        <x:is>
          <x:t xml:space="preserve">PY</x:t>
        </x:is>
      </x:c>
      <x:c r="D2" s="4" t="inlineStr">
        <x:is>
          <x:t xml:space="preserve">Perubahan</x:t>
        </x:is>
      </x:c>
      <x:c r="E2" s="4" t="inlineStr">
        <x:is>
          <x:t xml:space="preserve">Interpretasi otomatis</x:t>
        </x:is>
      </x:c>
      <x:c r="F2" s="4" t="inlineStr">
        <x:is>
          <x:t xml:space="preserve">Fokus analisis</x:t>
        </x:is>
      </x:c>
      <x:c r="G2" s="4" t="inlineStr">
        <x:is>
          <x:t xml:space="preserve">Catatan</x:t>
        </x:is>
      </x:c>
    </x:row>
    <x:row r="3">
      <x:c r="A3" s="9" t="inlineStr">
        <x:is>
          <x:t xml:space="preserve">Insurance revenue</x:t>
        </x:is>
      </x:c>
      <x:c r="B3" s="9">
        <x:f>Input_IFRS17_Detail!C3</x:f>
        <x:v>0</x:v>
      </x:c>
      <x:c r="C3" s="17">
        <x:f>Input_IFRS17_Detail!D3</x:f>
        <x:v>0</x:v>
      </x:c>
      <x:c r="D3" s="11">
        <x:f>IFERROR((B3/C3)-1,"")</x:f>
      </x:c>
      <x:c r="E3" s="17" t="str">
        <x:f>IF(B3&gt;0,"Pendapatan asuransi tersedia","Belum diisi")</x:f>
        <x:v>Belum diisi</x:v>
      </x:c>
      <x:c r="F3" s="17" t="inlineStr">
        <x:is>
          <x:t xml:space="preserve">Skala bisnis</x:t>
        </x:is>
      </x:c>
      <x:c r="G3" s="17" t="inlineStr">
        <x:is>
          <x:t xml:space="preserve"/>
        </x:is>
      </x:c>
    </x:row>
    <x:row r="4">
      <x:c r="A4" s="9" t="inlineStr">
        <x:is>
          <x:t xml:space="preserve">Insurance service result</x:t>
        </x:is>
      </x:c>
      <x:c r="B4" s="9">
        <x:f>Input_IFRS17_Detail!C9</x:f>
        <x:v>0</x:v>
      </x:c>
      <x:c r="C4" s="17">
        <x:f>Input_IFRS17_Detail!D9</x:f>
        <x:v>0</x:v>
      </x:c>
      <x:c r="D4" s="11">
        <x:f>IFERROR((B4/C4)-1,"")</x:f>
      </x:c>
      <x:c r="E4" s="17" t="str">
        <x:f>IF(B4&gt;0,"Underwriting/service result positif","Underwriting/service result negatif")</x:f>
        <x:v>Underwriting/service result negatif</x:v>
      </x:c>
      <x:c r="F4" s="17" t="inlineStr">
        <x:is>
          <x:t xml:space="preserve">Kualitas laba inti</x:t>
        </x:is>
      </x:c>
      <x:c r="G4" s="17" t="inlineStr">
        <x:is>
          <x:t xml:space="preserve"/>
        </x:is>
      </x:c>
    </x:row>
    <x:row r="5">
      <x:c r="A5" s="9" t="inlineStr">
        <x:is>
          <x:t xml:space="preserve">Insurance service result margin</x:t>
        </x:is>
      </x:c>
      <x:c r="B5" s="9">
        <x:f>Rasio!D5</x:f>
        <x:v>0</x:v>
      </x:c>
      <x:c r="C5" s="17">
        <x:f>Rasio!E5</x:f>
        <x:v>0</x:v>
      </x:c>
      <x:c r="D5" s="11">
        <x:f>IFERROR((B5/C5)-1,"")</x:f>
      </x:c>
      <x:c r="E5" s="17" t="str">
        <x:f>IF(B5&gt;=Setup!$B$17,"Margin jasa memadai","Margin jasa tipis")</x:f>
        <x:v>Margin jasa tipis</x:v>
      </x:c>
      <x:c r="F5" s="17" t="inlineStr">
        <x:is>
          <x:t xml:space="preserve">Profit inti IFRS 17</x:t>
        </x:is>
      </x:c>
      <x:c r="G5" s="17" t="inlineStr">
        <x:is>
          <x:t xml:space="preserve"/>
        </x:is>
      </x:c>
    </x:row>
    <x:row r="6">
      <x:c r="A6" s="9" t="inlineStr">
        <x:is>
          <x:t xml:space="preserve">Insurance contract liabilities</x:t>
        </x:is>
      </x:c>
      <x:c r="B6" s="9">
        <x:f>Input_IFRS17_Detail!C13</x:f>
        <x:v>0</x:v>
      </x:c>
      <x:c r="C6" s="17">
        <x:f>Input_IFRS17_Detail!D13</x:f>
        <x:v>0</x:v>
      </x:c>
      <x:c r="D6" s="11">
        <x:f>IFERROR((B6/C6)-1,"")</x:f>
      </x:c>
      <x:c r="E6" s="17" t="str">
        <x:f>IF(B6&gt;C6,"Kewajiban kontrak meningkat","Kewajiban kontrak menurun/stabil")</x:f>
        <x:v>Kewajiban kontrak menurun/stabil</x:v>
      </x:c>
      <x:c r="F6" s="17" t="inlineStr">
        <x:is>
          <x:t xml:space="preserve">Pertumbuhan portofolio</x:t>
        </x:is>
      </x:c>
      <x:c r="G6" s="17" t="inlineStr">
        <x:is>
          <x:t xml:space="preserve"/>
        </x:is>
      </x:c>
    </x:row>
    <x:row r="7">
      <x:c r="A7" s="9" t="inlineStr">
        <x:is>
          <x:t xml:space="preserve">Risk adjustment</x:t>
        </x:is>
      </x:c>
      <x:c r="B7" s="9">
        <x:f>Input_IFRS17_Detail!C19</x:f>
        <x:v>0</x:v>
      </x:c>
      <x:c r="C7" s="17">
        <x:f>Input_IFRS17_Detail!D19</x:f>
        <x:v>0</x:v>
      </x:c>
      <x:c r="D7" s="11">
        <x:f>IFERROR((B7/C7)-1,"")</x:f>
      </x:c>
      <x:c r="E7" s="17" t="str">
        <x:f>IF(B7&gt;0,"Risk adjustment tersedia","Belum diisi / sangat minim")</x:f>
        <x:v>Belum diisi / sangat minim</x:v>
      </x:c>
      <x:c r="F7" s="17" t="inlineStr">
        <x:is>
          <x:t xml:space="preserve">Buffer risiko</x:t>
        </x:is>
      </x:c>
      <x:c r="G7" s="17" t="inlineStr">
        <x:is>
          <x:t xml:space="preserve"/>
        </x:is>
      </x:c>
    </x:row>
    <x:row r="8">
      <x:c r="A8" s="9" t="inlineStr">
        <x:is>
          <x:t xml:space="preserve">Closing CSM</x:t>
        </x:is>
      </x:c>
      <x:c r="B8" s="9">
        <x:f>Input_IFRS17_Detail!C26</x:f>
        <x:v>0</x:v>
      </x:c>
      <x:c r="C8" s="17">
        <x:f>Input_IFRS17_Detail!D26</x:f>
        <x:v>0</x:v>
      </x:c>
      <x:c r="D8" s="11">
        <x:f>IFERROR((B8/C8)-1,"")</x:f>
      </x:c>
      <x:c r="E8" s="17" t="str">
        <x:f>IF(B8&gt;0,"CSM tersedia sebagai laba masa depan","CSM belum memadai / belum diisi")</x:f>
        <x:v>CSM belum memadai / belum diisi</x:v>
      </x:c>
      <x:c r="F8" s="17" t="inlineStr">
        <x:is>
          <x:t xml:space="preserve">Stock laba masa depan</x:t>
        </x:is>
      </x:c>
      <x:c r="G8" s="17" t="inlineStr">
        <x:is>
          <x:t xml:space="preserve"/>
        </x:is>
      </x:c>
    </x:row>
    <x:row r="9">
      <x:c r="A9" s="9" t="inlineStr">
        <x:is>
          <x:t xml:space="preserve">CSM / Equity</x:t>
        </x:is>
      </x:c>
      <x:c r="B9" s="9">
        <x:f>Rasio!D12</x:f>
      </x:c>
      <x:c r="C9" s="17">
        <x:f>Rasio!E12</x:f>
      </x:c>
      <x:c r="D9" s="11">
        <x:f>IFERROR((B9/C9)-1,"")</x:f>
      </x:c>
      <x:c r="E9" s="17" t="str">
        <x:f>IF(B9&gt;=Setup!$B$19,"CSM relatif memadai vs ekuitas","CSM tipis vs ekuitas")</x:f>
        <x:v>CSM tipis vs ekuitas</x:v>
      </x:c>
      <x:c r="F9" s="17" t="inlineStr">
        <x:is>
          <x:t xml:space="preserve">Franchise in-force</x:t>
        </x:is>
      </x:c>
      <x:c r="G9" s="17" t="inlineStr">
        <x:is>
          <x:t xml:space="preserve"/>
        </x:is>
      </x:c>
    </x:row>
    <x:row r="10">
      <x:c r="A10" s="9" t="inlineStr">
        <x:is>
          <x:t xml:space="preserve">Net reinsurance expense/income</x:t>
        </x:is>
      </x:c>
      <x:c r="B10" s="9">
        <x:f>Input_IFRS17_Detail!C8</x:f>
        <x:v>0</x:v>
      </x:c>
      <x:c r="C10" s="17">
        <x:f>Input_IFRS17_Detail!D8</x:f>
        <x:v>0</x:v>
      </x:c>
      <x:c r="D10" s="11">
        <x:f>IFERROR((B10/C10)-1,"")</x:f>
      </x:c>
      <x:c r="E10" s="17" t="str">
        <x:f>IF(ABS(B10)&gt;ABS(C10),"Pengaruh reasuransi makin besar","Pengaruh reasuransi stabil/menurun")</x:f>
        <x:v>Pengaruh reasuransi stabil/menurun</x:v>
      </x:c>
      <x:c r="F10" s="17" t="inlineStr">
        <x:is>
          <x:t xml:space="preserve">Ketergantungan reasuransi</x:t>
        </x:is>
      </x:c>
      <x:c r="G10" s="17" t="inlineStr">
        <x:is>
          <x:t xml:space="preserve"/>
        </x:is>
      </x:c>
    </x:row>
    <x:row r="11">
      <x:c r="A11" s="9" t="inlineStr">
        <x:is>
          <x:t xml:space="preserve">LRC vs LIC check</x:t>
        </x:is>
      </x:c>
      <x:c r="B11" s="9">
        <x:f>IFERROR(Input_IFRS17_Detail!C16/Input_IFRS17_Detail!C17,"")</x:f>
      </x:c>
      <x:c r="C11" s="17">
        <x:f>IFERROR(Input_IFRS17_Detail!D16/Input_IFRS17_Detail!D17,"")</x:f>
      </x:c>
      <x:c r="D11" s="11">
        <x:f>IFERROR((B11/C11)-1,"")</x:f>
      </x:c>
      <x:c r="E11" s="17" t="str">
        <x:f>IF(B11&gt;1,"LRC &gt; LIC","LIC lebih besar atau data belum lengkap")</x:f>
        <x:v>LIC lebih besar atau data belum lengkap</x:v>
      </x:c>
      <x:c r="F11" s="17" t="inlineStr">
        <x:is>
          <x:t xml:space="preserve">Komposisi kewajiban</x:t>
        </x:is>
      </x:c>
      <x:c r="G11" s="17" t="inlineStr">
        <x:is>
          <x:t xml:space="preserve"/>
        </x:is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4" customWidth="1"/>
    <x:col min="3" max="3" width="14" customWidth="1"/>
    <x:col min="4" max="4" width="12" customWidth="1"/>
    <x:col min="5" max="5" width="34" customWidth="1"/>
    <x:col min="6" max="6" width="24" customWidth="1"/>
    <x:col min="7" max="7" width="20" customWidth="1"/>
  </x:cols>
  <x:sheetData>
    <x:row r="1">
      <x:c r="A1" s="1" t="inlineStr">
        <x:is>
          <x:t xml:space="preserve">ANALISIS KHUSUS IFRS 9 / PSAK 109</x:t>
        </x:is>
      </x:c>
    </x:row>
    <x:row r="2">
      <x:c r="A2" s="4" t="inlineStr">
        <x:is>
          <x:t xml:space="preserve">Indikator</x:t>
        </x:is>
      </x:c>
      <x:c r="B2" s="4" t="inlineStr">
        <x:is>
          <x:t xml:space="preserve">CY</x:t>
        </x:is>
      </x:c>
      <x:c r="C2" s="4" t="inlineStr">
        <x:is>
          <x:t xml:space="preserve">PY</x:t>
        </x:is>
      </x:c>
      <x:c r="D2" s="4" t="inlineStr">
        <x:is>
          <x:t xml:space="preserve">Perubahan</x:t>
        </x:is>
      </x:c>
      <x:c r="E2" s="4" t="inlineStr">
        <x:is>
          <x:t xml:space="preserve">Interpretasi otomatis</x:t>
        </x:is>
      </x:c>
      <x:c r="F2" s="4" t="inlineStr">
        <x:is>
          <x:t xml:space="preserve">Fokus analisis</x:t>
        </x:is>
      </x:c>
      <x:c r="G2" s="4" t="inlineStr">
        <x:is>
          <x:t xml:space="preserve">Catatan</x:t>
        </x:is>
      </x:c>
    </x:row>
    <x:row r="3">
      <x:c r="A3" s="9" t="inlineStr">
        <x:is>
          <x:t xml:space="preserve">Financial assets subject to ECL</x:t>
        </x:is>
      </x:c>
      <x:c r="B3" s="9">
        <x:f>Input_IFRS9_Detail!C8</x:f>
        <x:v>0</x:v>
      </x:c>
      <x:c r="C3" s="17">
        <x:f>Input_IFRS9_Detail!D8</x:f>
        <x:v>0</x:v>
      </x:c>
      <x:c r="D3" s="11">
        <x:f>IFERROR((B3/C3)-1,"")</x:f>
      </x:c>
      <x:c r="E3" s="17" t="str">
        <x:f>IF(B3&gt;0,"Basis ECL tersedia","Belum diisi")</x:f>
        <x:v>Belum diisi</x:v>
      </x:c>
      <x:c r="F3" s="17" t="inlineStr">
        <x:is>
          <x:t xml:space="preserve">Ruang lingkup ECL</x:t>
        </x:is>
      </x:c>
      <x:c r="G3" s="17" t="inlineStr">
        <x:is>
          <x:t xml:space="preserve"/>
        </x:is>
      </x:c>
    </x:row>
    <x:row r="4">
      <x:c r="A4" s="9" t="inlineStr">
        <x:is>
          <x:t xml:space="preserve">Total allowance ECL</x:t>
        </x:is>
      </x:c>
      <x:c r="B4" s="9">
        <x:f>Input_IFRS9_Detail!C15</x:f>
        <x:v>0</x:v>
      </x:c>
      <x:c r="C4" s="17">
        <x:f>Input_IFRS9_Detail!D15</x:f>
        <x:v>0</x:v>
      </x:c>
      <x:c r="D4" s="11">
        <x:f>IFERROR((B4/C4)-1,"")</x:f>
      </x:c>
      <x:c r="E4" s="17" t="str">
        <x:f>IF(B4&gt;0,"Allowance ECL tersedia","Belum diisi")</x:f>
        <x:v>Belum diisi</x:v>
      </x:c>
      <x:c r="F4" s="17" t="inlineStr">
        <x:is>
          <x:t xml:space="preserve">Cadangan kerugian</x:t>
        </x:is>
      </x:c>
      <x:c r="G4" s="17" t="inlineStr">
        <x:is>
          <x:t xml:space="preserve"/>
        </x:is>
      </x:c>
    </x:row>
    <x:row r="5">
      <x:c r="A5" s="9" t="inlineStr">
        <x:is>
          <x:t xml:space="preserve">ECL coverage</x:t>
        </x:is>
      </x:c>
      <x:c r="B5" s="9">
        <x:f>Rasio!D15</x:f>
      </x:c>
      <x:c r="C5" s="17">
        <x:f>Rasio!E15</x:f>
      </x:c>
      <x:c r="D5" s="11">
        <x:f>IFERROR((B5/C5)-1,"")</x:f>
      </x:c>
      <x:c r="E5" s="17" t="str">
        <x:f>IF(B5&gt;=Setup!$B$20,"Coverage memadai","Coverage tipis / incomplete")</x:f>
        <x:v>Coverage tipis / incomplete</x:v>
      </x:c>
      <x:c r="F5" s="17" t="inlineStr">
        <x:is>
          <x:t xml:space="preserve">Kehati-hatian kredit</x:t>
        </x:is>
      </x:c>
      <x:c r="G5" s="17" t="inlineStr">
        <x:is>
          <x:t xml:space="preserve"/>
        </x:is>
      </x:c>
    </x:row>
    <x:row r="6">
      <x:c r="A6" s="9" t="inlineStr">
        <x:is>
          <x:t xml:space="preserve">Stage 2+3 ratio</x:t>
        </x:is>
      </x:c>
      <x:c r="B6" s="9">
        <x:f>Rasio!D16</x:f>
      </x:c>
      <x:c r="C6" s="17">
        <x:f>Rasio!E16</x:f>
      </x:c>
      <x:c r="D6" s="11">
        <x:f>IFERROR((B6/C6)-1,"")</x:f>
      </x:c>
      <x:c r="E6" s="17" t="str">
        <x:f>IF(B6&lt;=Setup!$B$21,"Migrasi kredit terkendali","Migrasi kredit meningkat")</x:f>
        <x:v>Migrasi kredit terkendali</x:v>
      </x:c>
      <x:c r="F6" s="17" t="inlineStr">
        <x:is>
          <x:t xml:space="preserve">Kualitas portofolio</x:t>
        </x:is>
      </x:c>
      <x:c r="G6" s="17" t="inlineStr">
        <x:is>
          <x:t xml:space="preserve"/>
        </x:is>
      </x:c>
    </x:row>
    <x:row r="7">
      <x:c r="A7" s="9" t="inlineStr">
        <x:is>
          <x:t xml:space="preserve">FVOCI reserve</x:t>
        </x:is>
      </x:c>
      <x:c r="B7" s="9">
        <x:f>Input_IFRS9_Detail!C21</x:f>
        <x:v>0</x:v>
      </x:c>
      <x:c r="C7" s="17">
        <x:f>Input_IFRS9_Detail!D21</x:f>
        <x:v>0</x:v>
      </x:c>
      <x:c r="D7" s="11">
        <x:f>IFERROR((B7/C7)-1,"")</x:f>
      </x:c>
      <x:c r="E7" s="17" t="str">
        <x:f>IF(B7&gt;=0,"Cadangan OCI positif","Cadangan OCI negatif")</x:f>
        <x:v>Cadangan OCI positif</x:v>
      </x:c>
      <x:c r="F7" s="17" t="inlineStr">
        <x:is>
          <x:t xml:space="preserve">Sensitivitas pasar</x:t>
        </x:is>
      </x:c>
      <x:c r="G7" s="17" t="inlineStr">
        <x:is>
          <x:t xml:space="preserve"/>
        </x:is>
      </x:c>
    </x:row>
    <x:row r="8">
      <x:c r="A8" s="9" t="inlineStr">
        <x:is>
          <x:t xml:space="preserve">Portfolio yield</x:t>
        </x:is>
      </x:c>
      <x:c r="B8" s="9">
        <x:f>Input_IFRS9_Detail!C25</x:f>
        <x:v>0</x:v>
      </x:c>
      <x:c r="C8" s="17">
        <x:f>Input_IFRS9_Detail!D25</x:f>
        <x:v>0</x:v>
      </x:c>
      <x:c r="D8" s="11">
        <x:f>IFERROR((B8/C8)-1,"")</x:f>
      </x:c>
      <x:c r="E8" s="17" t="str">
        <x:f>IF(B8&gt;0,"Yield investasi tersedia","Belum diisi")</x:f>
        <x:v>Belum diisi</x:v>
      </x:c>
      <x:c r="F8" s="17" t="inlineStr">
        <x:is>
          <x:t xml:space="preserve">Kinerja investasi</x:t>
        </x:is>
      </x:c>
      <x:c r="G8" s="17" t="inlineStr">
        <x:is>
          <x:t xml:space="preserve"/>
        </x:is>
      </x:c>
    </x:row>
    <x:row r="9">
      <x:c r="A9" s="9" t="inlineStr">
        <x:is>
          <x:t xml:space="preserve">Credit-impaired exposure</x:t>
        </x:is>
      </x:c>
      <x:c r="B9" s="9">
        <x:f>Input_IFRS9_Detail!C18</x:f>
        <x:v>0</x:v>
      </x:c>
      <x:c r="C9" s="17">
        <x:f>Input_IFRS9_Detail!D18</x:f>
        <x:v>0</x:v>
      </x:c>
      <x:c r="D9" s="11">
        <x:f>IFERROR((B9/C9)-1,"")</x:f>
      </x:c>
      <x:c r="E9" s="17" t="str">
        <x:f>IF(B9&gt;0,"Ada exposure bermasalah","Tidak ada / belum diisi")</x:f>
        <x:v>Tidak ada / belum diisi</x:v>
      </x:c>
      <x:c r="F9" s="17" t="inlineStr">
        <x:is>
          <x:t xml:space="preserve">Stage 3</x:t>
        </x:is>
      </x:c>
      <x:c r="G9" s="17" t="inlineStr">
        <x:is>
          <x:t xml:space="preserve"/>
        </x:is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20" customWidth="1"/>
  </x:cols>
  <x:sheetData>
    <x:row r="1">
      <x:c r="A1" s="1" t="inlineStr">
        <x:is>
          <x:t xml:space="preserve">RINGKASAN OTOMATIS / EXECUTIVE SUMMARY</x:t>
        </x:is>
      </x:c>
    </x:row>
    <x:row r="2"/>
    <x:row r="3">
      <x:c r="A3" s="2" t="inlineStr">
        <x:is>
          <x:t xml:space="preserve">Perusahaan</x:t>
        </x:is>
      </x:c>
      <x:c r="B3" s="3" t="str">
        <x:f>Setup!B3</x:f>
        <x:v>&lt;isi nama perusahaan&gt;</x:v>
      </x:c>
      <x:c r="H3" s="3" t="n"/>
    </x:row>
    <x:row r="4">
      <x:c r="A4" s="2" t="inlineStr">
        <x:is>
          <x:t xml:space="preserve">Periode</x:t>
        </x:is>
      </x:c>
      <x:c r="B4" s="3">
        <x:f>Setup!B5</x:f>
        <x:v>2025</x:v>
      </x:c>
      <x:c r="H4" s="3" t="n"/>
    </x:row>
    <x:row r="5">
      <x:c r="A5" s="2" t="inlineStr">
        <x:is>
          <x:t xml:space="preserve">Executive summary</x:t>
        </x:is>
      </x:c>
      <x:c r="B5" s="3" t="str">
        <x:f> "Perusahaan " &amp; Setup!B3 &amp; " dianalisis untuk tahun " &amp; Setup!B5 &amp; ". "&amp; IF(Rasio!D3&lt;&gt;"","ROA " &amp; TEXT(Rasio!D3,"0.0%") &amp; ", ","")&amp; IF(Rasio!D4&lt;&gt;"","ROE " &amp; TEXT(Rasio!D4,"0.0%") &amp; ", ","")&amp; IF(Rasio!D7&lt;&gt;"","Liabilities/Equity " &amp; TEXT(Rasio!D7,"0.00x") &amp; ". ","")&amp; IF(Rasio!D5&gt;=Setup!B17,"Margin jasa asuransi memadai. ","Margin jasa asuransi tertekan. ")&amp; IF(Rasio!D15&gt;=Setup!B20,"Coverage ECL memadai. ","Coverage ECL tipis / belum lengkap. ")</x:f>
        <x:v>Perusahaan &lt;isi nama perusahaan&gt; dianalisis untuk tahun 2025. Margin jasa asuransi tertekan. Coverage ECL tipis / belum lengkap. </x:v>
      </x:c>
      <x:c r="H5" s="3" t="n"/>
    </x:row>
    <x:row r="6">
      <x:c r="A6" s="3" t="n"/>
      <x:c r="B6" s="3" t="n"/>
      <x:c r="H6" s="3" t="n"/>
    </x:row>
    <x:row r="7">
      <x:c r="A7" s="2" t="inlineStr">
        <x:is>
          <x:t xml:space="preserve">1. Skala &amp; struktur neraca</x:t>
        </x:is>
      </x:c>
      <x:c r="B7" s="3" t="str">
        <x:f> "Total aset " &amp; TEXT(Input_SFP!C18,"#,##0") &amp; ", total liabilitas " &amp; TEXT(Input_SFP!C26,"#,##0") &amp; ", total ekuitas " &amp; TEXT(Input_SFP!C34,"#,##0") &amp; ". "&amp; IF(Rasio!D8&lt;0.90,"Struktur neraca masih moderat.","Leverage neraca tinggi.")</x:f>
        <x:v>Total aset 0, total liabilitas 0, total ekuitas 0. Struktur neraca masih moderat.</x:v>
      </x:c>
      <x:c r="H7" s="3" t="n"/>
    </x:row>
    <x:row r="8">
      <x:c r="A8" s="2" t="inlineStr">
        <x:is>
          <x:t xml:space="preserve">2. Profitabilitas</x:t>
        </x:is>
      </x:c>
      <x:c r="B8" s="3" t="str">
        <x:f> "Profit tahun berjalan " &amp; TEXT(Input_PL_OCI!C16,"#,##0") &amp; " dengan net margin " &amp; TEXT(Rasio!D6,"0.0%") &amp; " dan ROE " &amp; TEXT(Rasio!D4,"0.0%") &amp; ". "&amp; IF(Rasio!D6&gt;=Setup!B18,"Profitabilitas relatif baik.","Profitabilitas perlu perhatian.")</x:f>
        <x:v>Profit tahun berjalan 0 dengan net margin 0.0% dan ROE 0.0%. Profitabilitas perlu perhatian.</x:v>
      </x:c>
      <x:c r="H8" s="3" t="n"/>
    </x:row>
    <x:row r="9">
      <x:c r="A9" s="2" t="inlineStr">
        <x:is>
          <x:t xml:space="preserve">3. Kualitas hasil jasa asuransi (IFRS 17)</x:t>
        </x:is>
      </x:c>
      <x:c r="B9" s="3" t="str">
        <x:f> "Insurance revenue " &amp; TEXT(Input_IFRS17_Detail!C3,"#,##0") &amp; ", insurance service result " &amp; TEXT(Input_IFRS17_Detail!C9,"#,##0") &amp; ", margin jasa " &amp; TEXT(Rasio!D5,"0.0%") &amp; ", closing CSM " &amp; TEXT(Input_IFRS17_Detail!C26,"#,##0") &amp; ". "&amp; IF(Rasio!D12&gt;=Setup!B19,"CSM mendukung laba masa depan.","CSM belum kuat dibanding ekuitas.")</x:f>
        <x:v>Insurance revenue , insurance service result 0, margin jasa 0.0%, closing CSM 0. CSM belum kuat dibanding ekuitas.</x:v>
      </x:c>
      <x:c r="H9" s="3" t="n"/>
    </x:row>
    <x:row r="10">
      <x:c r="A10" s="2" t="inlineStr">
        <x:is>
          <x:t xml:space="preserve">4. Kualitas aset keuangan (IFRS 9)</x:t>
        </x:is>
      </x:c>
      <x:c r="B10" s="3" t="str">
        <x:f> "Aset keuangan subject to ECL " &amp; TEXT(Input_IFRS9_Detail!C8,"#,##0") &amp; ", allowance ECL " &amp; TEXT(Input_IFRS9_Detail!C15,"#,##0") &amp; ", coverage " &amp; TEXT(Rasio!D15,"0.0%") &amp; ", Stage 2+3 ratio " &amp; TEXT(Rasio!D16,"0.0%") &amp; ". "&amp; IF(Rasio!D16&lt;=Setup!B21,"Kualitas portofolio kredit relatif baik.","Ada indikasi peningkatan risiko kredit.")</x:f>
        <x:v>Aset keuangan subject to ECL 0, allowance ECL 0, coverage 0.0%, Stage 2+3 ratio 0.0%. Kualitas portofolio kredit relatif baik.</x:v>
      </x:c>
      <x:c r="H10" s="3" t="n"/>
    </x:row>
    <x:row r="11">
      <x:c r="A11" s="2" t="inlineStr">
        <x:is>
          <x:t xml:space="preserve">5. Arus kas</x:t>
        </x:is>
      </x:c>
      <x:c r="B11" s="3" t="str">
        <x:f> "Arus kas operasi " &amp; TEXT(Input_CF!C3,"#,##0") &amp; " dan OCF/Profit " &amp; TEXT(Rasio!D19,"0.0%") &amp; ". "&amp; IF(Rasio!D19&gt;=Setup!B22,"Konversi laba ke kas baik.","Laba belum kuat terkonversi menjadi kas.")</x:f>
        <x:v>Arus kas operasi  dan OCF/Profit 0.0%. Laba belum kuat terkonversi menjadi kas.</x:v>
      </x:c>
      <x:c r="H11" s="3" t="n"/>
    </x:row>
    <x:row r="12">
      <x:c r="A12" s="2" t="inlineStr">
        <x:is>
          <x:t xml:space="preserve">6. Red flags utama</x:t>
        </x:is>
      </x:c>
      <x:c r="B12" s="3" t="str">
        <x:f>TEXTJOIN("; ",TRUE,IF(Rasio!D5&lt;Setup!B17,"margin jasa asuransi di bawah ambang",""),IF(Rasio!D7&gt;Setup!B14,"leverage tinggi",""),IF(Rasio!D15&lt;Setup!B20,"coverage ECL tipis / belum lengkap",""),IF(Rasio!D16&gt;Setup!B21,"Stage 2+3 ratio tinggi",""),IF(Rasio!D19&lt;Setup!B22,"arus kas operasi lemah terhadap laba",""))</x:f>
        <x:v>margin jasa asuransi di bawah ambang; coverage ECL tipis / belum lengkap; arus kas operasi lemah terhadap laba</x:v>
      </x:c>
      <x:c r="H12" s="3" t="n"/>
    </x:row>
    <x:row r="13">
      <x:c r="A13" s="3" t="n"/>
      <x:c r="B13" s="3" t="n"/>
      <x:c r="H13" s="3" t="n"/>
    </x:row>
    <x:row r="14">
      <x:c r="A14" s="2" t="inlineStr">
        <x:is>
          <x:t xml:space="preserve">Checklist cepat user</x:t>
        </x:is>
      </x:c>
      <x:c r="B14" s="3" t="n"/>
      <x:c r="H14" s="3" t="n"/>
    </x:row>
    <x:row r="15">
      <x:c r="A15" s="2" t="inlineStr">
        <x:is>
          <x:t xml:space="preserve">IFRS17 utama sudah cukup lengkap?</x:t>
        </x:is>
      </x:c>
      <x:c r="B15" s="3" t="str">
        <x:f>IF(COUNTA(Input_IFRS17_Detail!C3:C26)&gt;=8,"Ya","Belum")</x:f>
        <x:v>Belum</x:v>
      </x:c>
      <x:c r="H15" s="3" t="n"/>
    </x:row>
    <x:row r="16">
      <x:c r="A16" s="2" t="inlineStr">
        <x:is>
          <x:t xml:space="preserve">IFRS9 utama sudah cukup lengkap?</x:t>
        </x:is>
      </x:c>
      <x:c r="B16" s="3" t="str">
        <x:f>IF(COUNTA(Input_IFRS9_Detail!C3:C21)&gt;=8,"Ya","Belum")</x:f>
        <x:v>Belum</x:v>
      </x:c>
      <x:c r="H16" s="3" t="n"/>
    </x:row>
    <x:row r="17">
      <x:c r="A17" s="2" t="inlineStr">
        <x:is>
          <x:t xml:space="preserve">Neraca balance?</x:t>
        </x:is>
      </x:c>
      <x:c r="B17" s="3" t="str">
        <x:f>IF(ABS(Input_SFP!C18-Input_SFP!C35)&lt;1,"Ya","Tidak")</x:f>
        <x:v>Ya</x:v>
      </x:c>
      <x:c r="H17" s="3" t="n"/>
    </x:row>
    <x:row r="18">
      <x:c r="A18" s="2" t="inlineStr">
        <x:is>
          <x:t xml:space="preserve">Kas konsisten?</x:t>
        </x:is>
      </x:c>
      <x:c r="B18" s="3" t="str">
        <x:f>IF(ABS(Rasio!D20-1)&lt;0.02,"Ya","Tidak")</x:f>
        <x:v>Tidak</x:v>
      </x:c>
      <x:c r="H18" s="3" t="n"/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8" customWidth="1"/>
    <x:col min="3" max="3" width="22" customWidth="1"/>
    <x:col min="4" max="4" width="18" customWidth="1"/>
    <x:col min="5" max="5" width="22" customWidth="1"/>
    <x:col min="6" max="6" width="18" customWidth="1"/>
    <x:col min="7" max="7" width="22" customWidth="1"/>
    <x:col min="8" max="8" width="18" customWidth="1"/>
    <x:col min="9" max="9" width="22" customWidth="1"/>
    <x:col min="10" max="10" width="18" customWidth="1"/>
  </x:cols>
  <x:sheetData>
    <x:row r="1">
      <x:c r="A1" s="1" t="inlineStr">
        <x:is>
          <x:t xml:space="preserve">DASHBOARD RINGKAS – ASURANSI JIWA IFRS 9 / IFRS 17</x:t>
        </x:is>
      </x:c>
    </x:row>
    <x:row r="2"/>
    <x:row r="3">
      <x:c r="A3" s="21" t="inlineStr">
        <x:is>
          <x:t xml:space="preserve">Total Aset</x:t>
        </x:is>
      </x:c>
      <x:c r="B3" s="22">
        <x:f>Input_SFP!C18</x:f>
        <x:v>0</x:v>
      </x:c>
      <x:c r="C3" s="23" t="inlineStr">
        <x:is>
          <x:t xml:space="preserve">Total Liabilitas</x:t>
        </x:is>
      </x:c>
      <x:c r="D3" s="24">
        <x:f>Input_SFP!C26</x:f>
        <x:v>0</x:v>
      </x:c>
      <x:c r="E3" s="23" t="inlineStr">
        <x:is>
          <x:t xml:space="preserve">Total Ekuitas</x:t>
        </x:is>
      </x:c>
      <x:c r="F3" s="24">
        <x:f>Input_SFP!C34</x:f>
        <x:v>0</x:v>
      </x:c>
      <x:c r="G3" s="23" t="inlineStr">
        <x:is>
          <x:t xml:space="preserve">Profit Tahun Berjalan</x:t>
        </x:is>
      </x:c>
      <x:c r="H3" s="22">
        <x:f>Input_PL_OCI!C16</x:f>
        <x:v>0</x:v>
      </x:c>
      <x:c r="I3" s="21" t="inlineStr">
        <x:is>
          <x:t xml:space="preserve">Comprehensive Income</x:t>
        </x:is>
      </x:c>
      <x:c r="J3" s="22">
        <x:f>Input_PL_OCI!C21</x:f>
        <x:v>0</x:v>
      </x:c>
    </x:row>
    <x:row r="4">
      <x:c r="A4" s="3" t="n"/>
      <x:c r="B4" s="3" t="n"/>
      <x:c r="H4" s="3" t="n"/>
      <x:c r="I4" s="3" t="n"/>
      <x:c r="J4" s="3" t="n"/>
    </x:row>
    <x:row r="5">
      <x:c r="A5" s="3" t="n"/>
      <x:c r="B5" s="3" t="n"/>
      <x:c r="H5" s="3" t="n"/>
      <x:c r="I5" s="3" t="n"/>
      <x:c r="J5" s="3" t="n"/>
    </x:row>
    <x:row r="6">
      <x:c r="A6" s="21" t="inlineStr">
        <x:is>
          <x:t xml:space="preserve">ROA</x:t>
        </x:is>
      </x:c>
      <x:c r="B6" s="25">
        <x:f>Rasio!D3</x:f>
      </x:c>
      <x:c r="C6" s="23" t="inlineStr">
        <x:is>
          <x:t xml:space="preserve">ROE</x:t>
        </x:is>
      </x:c>
      <x:c r="D6" s="26">
        <x:f>Rasio!D4</x:f>
      </x:c>
      <x:c r="E6" s="23" t="inlineStr">
        <x:is>
          <x:t xml:space="preserve">Liabilities / Equity</x:t>
        </x:is>
      </x:c>
      <x:c r="F6" s="27">
        <x:f>Rasio!D7</x:f>
      </x:c>
      <x:c r="G6" s="23" t="inlineStr">
        <x:is>
          <x:t xml:space="preserve">Service Result Margin</x:t>
        </x:is>
      </x:c>
      <x:c r="H6" s="25">
        <x:f>Rasio!D5</x:f>
        <x:v>0</x:v>
      </x:c>
      <x:c r="I6" s="21" t="inlineStr">
        <x:is>
          <x:t xml:space="preserve">ECL Coverage</x:t>
        </x:is>
      </x:c>
      <x:c r="J6" s="25">
        <x:f>Rasio!D15</x:f>
      </x:c>
    </x:row>
    <x:row r="7">
      <x:c r="A7" s="3" t="n"/>
      <x:c r="B7" s="3" t="n"/>
      <x:c r="H7" s="3" t="n"/>
      <x:c r="I7" s="3" t="n"/>
      <x:c r="J7" s="3" t="n"/>
    </x:row>
    <x:row r="8">
      <x:c r="A8" s="3" t="n"/>
      <x:c r="B8" s="3" t="n"/>
      <x:c r="H8" s="3" t="n"/>
      <x:c r="I8" s="3" t="n"/>
      <x:c r="J8" s="3" t="n"/>
    </x:row>
    <x:row r="9">
      <x:c r="A9" s="21" t="inlineStr">
        <x:is>
          <x:t xml:space="preserve">Quick summary</x:t>
        </x:is>
      </x:c>
      <x:c r="B9" s="3" t="n"/>
      <x:c r="F9" s="28" t="inlineStr">
        <x:is>
          <x:t xml:space="preserve">Red flags</x:t>
        </x:is>
      </x:c>
      <x:c r="H9" s="3" t="n"/>
      <x:c r="I9" s="3" t="n"/>
      <x:c r="J9" s="3" t="n"/>
    </x:row>
    <x:row r="10">
      <x:c r="A10" s="3" t="str">
        <x:f>Auto_Analysis!B5</x:f>
        <x:v>Perusahaan &lt;isi nama perusahaan&gt; dianalisis untuk tahun 2025. Margin jasa asuransi tertekan. Coverage ECL tipis / belum lengkap. </x:v>
      </x:c>
      <x:c r="B10" s="3" t="n"/>
      <x:c r="F10" s="29" t="str">
        <x:f>Auto_Analysis!B12</x:f>
        <x:v>margin jasa asuransi di bawah ambang; coverage ECL tipis / belum lengkap; arus kas operasi lemah terhadap laba</x:v>
      </x:c>
      <x:c r="H10" s="3" t="n"/>
      <x:c r="I10" s="3" t="n"/>
      <x:c r="J10" s="3" t="n"/>
    </x:row>
    <x:row r="11">
      <x:c r="A11" s="3" t="n"/>
      <x:c r="B11" s="3" t="n"/>
      <x:c r="H11" s="3" t="n"/>
      <x:c r="I11" s="3" t="n"/>
      <x:c r="J11" s="3" t="n"/>
    </x:row>
    <x:row r="12">
      <x:c r="A12" s="3" t="n"/>
      <x:c r="B12" s="3" t="n"/>
      <x:c r="H12" s="3" t="n"/>
      <x:c r="I12" s="3" t="n"/>
      <x:c r="J12" s="3" t="n"/>
    </x:row>
    <x:row r="13">
      <x:c r="A13" s="21" t="inlineStr">
        <x:is>
          <x:t xml:space="preserve">Checklist</x:t>
        </x:is>
      </x:c>
      <x:c r="B13" s="3" t="n"/>
      <x:c r="H13" s="3" t="n"/>
      <x:c r="I13" s="3" t="n"/>
      <x:c r="J13" s="3" t="n"/>
    </x:row>
    <x:row r="14">
      <x:c r="A14" s="3" t="inlineStr">
        <x:is>
          <x:t xml:space="preserve">IFRS17 lengkap</x:t>
        </x:is>
      </x:c>
      <x:c r="B14" s="3" t="str">
        <x:f>Auto_Analysis!B15</x:f>
        <x:v>Belum</x:v>
      </x:c>
      <x:c r="H14" s="3" t="n"/>
      <x:c r="I14" s="3" t="n"/>
      <x:c r="J14" s="3" t="n"/>
    </x:row>
    <x:row r="15">
      <x:c r="A15" s="3" t="inlineStr">
        <x:is>
          <x:t xml:space="preserve">IFRS9 lengkap</x:t>
        </x:is>
      </x:c>
      <x:c r="B15" s="3" t="str">
        <x:f>Auto_Analysis!B16</x:f>
        <x:v>Belum</x:v>
      </x:c>
      <x:c r="H15" s="3" t="n"/>
      <x:c r="I15" s="3" t="n"/>
      <x:c r="J15" s="3" t="n"/>
    </x:row>
    <x:row r="16">
      <x:c r="A16" s="3" t="inlineStr">
        <x:is>
          <x:t xml:space="preserve">Neraca balance</x:t>
        </x:is>
      </x:c>
      <x:c r="B16" s="3" t="str">
        <x:f>Auto_Analysis!B17</x:f>
        <x:v>Ya</x:v>
      </x:c>
      <x:c r="H16" s="3" t="n"/>
      <x:c r="I16" s="3" t="n"/>
      <x:c r="J16" s="3" t="n"/>
    </x:row>
    <x:row r="17">
      <x:c r="A17" s="3" t="inlineStr">
        <x:is>
          <x:t xml:space="preserve">Kas konsisten</x:t>
        </x:is>
      </x:c>
      <x:c r="B17" s="3" t="str">
        <x:f>Auto_Analysis!B18</x:f>
        <x:v>Tidak</x:v>
      </x:c>
      <x:c r="H17" s="3" t="n"/>
      <x:c r="I17" s="3" t="n"/>
      <x:c r="J17" s="3" t="n"/>
    </x:row>
  </x:sheetData>
  <x:mergeCells>
    <x:mergeCell ref="A1:J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18" customWidth="1"/>
    <x:col min="3" max="3" width="14" customWidth="1"/>
    <x:col min="4" max="4" width="18" customWidth="1"/>
    <x:col min="5" max="5" width="28" customWidth="1"/>
    <x:col min="6" max="6" width="20" customWidth="1"/>
  </x:cols>
  <x:sheetData>
    <x:row r="1">
      <x:c r="A1" s="1" t="inlineStr">
        <x:is>
          <x:t xml:space="preserve">VALIDASI INPUT, KONSISTENSI, DAN KONTROL</x:t>
        </x:is>
      </x:c>
    </x:row>
    <x:row r="2">
      <x:c r="A2" s="4" t="inlineStr">
        <x:is>
          <x:t xml:space="preserve">Kontrol</x:t>
        </x:is>
      </x:c>
      <x:c r="B2" s="4" t="inlineStr">
        <x:is>
          <x:t xml:space="preserve">Hasil</x:t>
        </x:is>
      </x:c>
      <x:c r="C2" s="4" t="inlineStr">
        <x:is>
          <x:t xml:space="preserve">Status</x:t>
        </x:is>
      </x:c>
      <x:c r="D2" s="4" t="inlineStr">
        <x:is>
          <x:t xml:space="preserve">Sheet</x:t>
        </x:is>
      </x:c>
      <x:c r="E2" s="4" t="inlineStr">
        <x:is>
          <x:t xml:space="preserve">Tindak lanjut</x:t>
        </x:is>
      </x:c>
      <x:c r="F2" s="4" t="inlineStr">
        <x:is>
          <x:t xml:space="preserve">Catatan</x:t>
        </x:is>
      </x:c>
    </x:row>
    <x:row r="3">
      <x:c r="A3" s="9" t="inlineStr">
        <x:is>
          <x:t xml:space="preserve">Total assets = liabilities + dana peserta + equity</x:t>
        </x:is>
      </x:c>
      <x:c r="B3" s="9" t="str">
        <x:f>IF(ABS(Input_SFP!C18-Input_SFP!C35)&lt;1,"OK","CEK")</x:f>
        <x:v>OK</x:v>
      </x:c>
      <x:c r="C3" s="17" t="str">
        <x:f>B3</x:f>
        <x:v>OK</x:v>
      </x:c>
      <x:c r="D3" s="17" t="inlineStr">
        <x:is>
          <x:t xml:space="preserve">Input_SFP</x:t>
        </x:is>
      </x:c>
      <x:c r="E3" s="17" t="inlineStr">
        <x:is>
          <x:t xml:space="preserve">Pastikan neraca balance</x:t>
        </x:is>
      </x:c>
      <x:c r="F3" s="17" t="inlineStr">
        <x:is>
          <x:t xml:space="preserve"/>
        </x:is>
      </x:c>
    </x:row>
    <x:row r="4">
      <x:c r="A4" s="9" t="inlineStr">
        <x:is>
          <x:t xml:space="preserve">Cash ending CF = cash SFP</x:t>
        </x:is>
      </x:c>
      <x:c r="B4" s="9" t="str">
        <x:f>IF(ABS(Input_CF!C8-Input_SFP!C3)&lt;1,"OK","CEK")</x:f>
        <x:v>OK</x:v>
      </x:c>
      <x:c r="C4" s="17" t="str">
        <x:f>B4</x:f>
        <x:v>OK</x:v>
      </x:c>
      <x:c r="D4" s="17" t="inlineStr">
        <x:is>
          <x:t xml:space="preserve">Input_CF / Input_SFP</x:t>
        </x:is>
      </x:c>
      <x:c r="E4" s="17" t="inlineStr">
        <x:is>
          <x:t xml:space="preserve">Rekonsiliasi arus kas dan neraca</x:t>
        </x:is>
      </x:c>
      <x:c r="F4" s="17" t="inlineStr">
        <x:is>
          <x:t xml:space="preserve"/>
        </x:is>
      </x:c>
    </x:row>
    <x:row r="5">
      <x:c r="A5" s="9" t="inlineStr">
        <x:is>
          <x:t xml:space="preserve">Profit + OCI = Total comprehensive income</x:t>
        </x:is>
      </x:c>
      <x:c r="B5" s="9" t="str">
        <x:f>IF(ABS(Input_PL_OCI!C21-(Input_PL_OCI!C16+Input_PL_OCI!C20))&lt;1,"OK","CEK")</x:f>
        <x:v>OK</x:v>
      </x:c>
      <x:c r="C5" s="17" t="str">
        <x:f>B5</x:f>
        <x:v>OK</x:v>
      </x:c>
      <x:c r="D5" s="17" t="inlineStr">
        <x:is>
          <x:t xml:space="preserve">Input_PL_OCI</x:t>
        </x:is>
      </x:c>
      <x:c r="E5" s="17" t="inlineStr">
        <x:is>
          <x:t xml:space="preserve">Periksa laba dan OCI</x:t>
        </x:is>
      </x:c>
      <x:c r="F5" s="17" t="inlineStr">
        <x:is>
          <x:t xml:space="preserve"/>
        </x:is>
      </x:c>
    </x:row>
    <x:row r="6">
      <x:c r="A6" s="9" t="inlineStr">
        <x:is>
          <x:t xml:space="preserve">Insurance service result formula</x:t>
        </x:is>
      </x:c>
      <x:c r="B6" s="9" t="str">
        <x:f>IF(ABS(Input_IFRS17_Detail!C9-(SUM(Input_IFRS17_Detail!C3:Input_IFRS17_Detail!C7)+Input_IFRS17_Detail!C8))&lt;1,"OK","CEK")</x:f>
        <x:v>OK</x:v>
      </x:c>
      <x:c r="C6" s="17" t="str">
        <x:f>B6</x:f>
        <x:v>OK</x:v>
      </x:c>
      <x:c r="D6" s="17" t="inlineStr">
        <x:is>
          <x:t xml:space="preserve">Input_IFRS17_Detail</x:t>
        </x:is>
      </x:c>
      <x:c r="E6" s="17" t="inlineStr">
        <x:is>
          <x:t xml:space="preserve">Periksa komponen hasil jasa</x:t>
        </x:is>
      </x:c>
      <x:c r="F6" s="17" t="inlineStr">
        <x:is>
          <x:t xml:space="preserve"/>
        </x:is>
      </x:c>
    </x:row>
    <x:row r="7">
      <x:c r="A7" s="9" t="inlineStr">
        <x:is>
          <x:t xml:space="preserve">Closing CSM formula</x:t>
        </x:is>
      </x:c>
      <x:c r="B7" s="9" t="str">
        <x:f>IF(ABS(Input_IFRS17_Detail!C26-SUM(Input_IFRS17_Detail!C20:Input_IFRS17_Detail!C25))&lt;1,"OK","CEK")</x:f>
        <x:v>OK</x:v>
      </x:c>
      <x:c r="C7" s="17" t="str">
        <x:f>B7</x:f>
        <x:v>OK</x:v>
      </x:c>
      <x:c r="D7" s="17" t="inlineStr">
        <x:is>
          <x:t xml:space="preserve">Input_IFRS17_Detail</x:t>
        </x:is>
      </x:c>
      <x:c r="E7" s="17" t="inlineStr">
        <x:is>
          <x:t xml:space="preserve">Periksa roll-forward CSM</x:t>
        </x:is>
      </x:c>
      <x:c r="F7" s="17" t="inlineStr">
        <x:is>
          <x:t xml:space="preserve"/>
        </x:is>
      </x:c>
    </x:row>
    <x:row r="8">
      <x:c r="A8" s="9" t="inlineStr">
        <x:is>
          <x:t xml:space="preserve">Total financial assets subject to ECL</x:t>
        </x:is>
      </x:c>
      <x:c r="B8" s="9" t="str">
        <x:f>IF(ABS(Input_IFRS9_Detail!C8-SUM(Input_IFRS9_Detail!C4,Input_IFRS9_Detail!C6,Input_IFRS9_Detail!C7))&lt;1,"OK","CEK")</x:f>
        <x:v>OK</x:v>
      </x:c>
      <x:c r="C8" s="17" t="str">
        <x:f>B8</x:f>
        <x:v>OK</x:v>
      </x:c>
      <x:c r="D8" s="17" t="inlineStr">
        <x:is>
          <x:t xml:space="preserve">Input_IFRS9_Detail</x:t>
        </x:is>
      </x:c>
      <x:c r="E8" s="17" t="inlineStr">
        <x:is>
          <x:t xml:space="preserve">Periksa basis ECL</x:t>
        </x:is>
      </x:c>
      <x:c r="F8" s="17" t="inlineStr">
        <x:is>
          <x:t xml:space="preserve"/>
        </x:is>
      </x:c>
    </x:row>
    <x:row r="9">
      <x:c r="A9" s="9" t="inlineStr">
        <x:is>
          <x:t xml:space="preserve">Total allowance ECL</x:t>
        </x:is>
      </x:c>
      <x:c r="B9" s="9" t="str">
        <x:f>IF(ABS(Input_IFRS9_Detail!C15-SUM(Input_IFRS9_Detail!C12:Input_IFRS9_Detail!C14))&lt;1,"OK","CEK")</x:f>
        <x:v>OK</x:v>
      </x:c>
      <x:c r="C9" s="17" t="str">
        <x:f>B9</x:f>
        <x:v>OK</x:v>
      </x:c>
      <x:c r="D9" s="17" t="inlineStr">
        <x:is>
          <x:t xml:space="preserve">Input_IFRS9_Detail</x:t>
        </x:is>
      </x:c>
      <x:c r="E9" s="17" t="inlineStr">
        <x:is>
          <x:t xml:space="preserve">Periksa stage allowance</x:t>
        </x:is>
      </x:c>
      <x:c r="F9" s="17" t="inlineStr">
        <x:is>
          <x:t xml:space="preserve"/>
        </x:is>
      </x:c>
    </x:row>
    <x:row r="10">
      <x:c r="A10" s="9" t="inlineStr">
        <x:is>
          <x:t xml:space="preserve">Minimal input SFP utama terisi</x:t>
        </x:is>
      </x:c>
      <x:c r="B10" s="9" t="str">
        <x:f>IF(COUNTA(Input_SFP!C3:C34)&gt;=10,"OK","CEK")</x:f>
        <x:v>CEK</x:v>
      </x:c>
      <x:c r="C10" s="17" t="str">
        <x:f>B10</x:f>
        <x:v>CEK</x:v>
      </x:c>
      <x:c r="D10" s="17" t="inlineStr">
        <x:is>
          <x:t xml:space="preserve">Input_SFP</x:t>
        </x:is>
      </x:c>
      <x:c r="E10" s="17" t="inlineStr">
        <x:is>
          <x:t xml:space="preserve">Isi akun utama minimal</x:t>
        </x:is>
      </x:c>
      <x:c r="F10" s="17" t="inlineStr">
        <x:is>
          <x:t xml:space="preserve"/>
        </x:is>
      </x:c>
    </x:row>
    <x:row r="11">
      <x:c r="A11" s="9" t="inlineStr">
        <x:is>
          <x:t xml:space="preserve">Minimal input P/L utama terisi</x:t>
        </x:is>
      </x:c>
      <x:c r="B11" s="9" t="str">
        <x:f>IF(COUNTA(Input_PL_OCI!C3:C19)&gt;=6,"OK","CEK")</x:f>
        <x:v>CEK</x:v>
      </x:c>
      <x:c r="C11" s="17" t="str">
        <x:f>B11</x:f>
        <x:v>CEK</x:v>
      </x:c>
      <x:c r="D11" s="17" t="inlineStr">
        <x:is>
          <x:t xml:space="preserve">Input_PL_OCI</x:t>
        </x:is>
      </x:c>
      <x:c r="E11" s="17" t="inlineStr">
        <x:is>
          <x:t xml:space="preserve">Isi akun P/L utama minimal</x:t>
        </x:is>
      </x:c>
      <x:c r="F11" s="17" t="inlineStr">
        <x:is>
          <x:t xml:space="preserve"/>
        </x:is>
      </x:c>
    </x:row>
    <x:row r="12">
      <x:c r="A12" s="9" t="inlineStr">
        <x:is>
          <x:t xml:space="preserve">Minimal input IFRS17 utama terisi</x:t>
        </x:is>
      </x:c>
      <x:c r="B12" s="9" t="str">
        <x:f>IF(COUNTA(Input_IFRS17_Detail!C3:C26)&gt;=8,"OK","CEK")</x:f>
        <x:v>CEK</x:v>
      </x:c>
      <x:c r="C12" s="17" t="str">
        <x:f>B12</x:f>
        <x:v>CEK</x:v>
      </x:c>
      <x:c r="D12" s="17" t="inlineStr">
        <x:is>
          <x:t xml:space="preserve">Input_IFRS17_Detail</x:t>
        </x:is>
      </x:c>
      <x:c r="E12" s="17" t="inlineStr">
        <x:is>
          <x:t xml:space="preserve">Isi insurance revenue, liabilities, RA, CSM</x:t>
        </x:is>
      </x:c>
      <x:c r="F12" s="17" t="inlineStr">
        <x:is>
          <x:t xml:space="preserve"/>
        </x:is>
      </x:c>
    </x:row>
    <x:row r="13">
      <x:c r="A13" s="9" t="inlineStr">
        <x:is>
          <x:t xml:space="preserve">Minimal input IFRS9 utama terisi</x:t>
        </x:is>
      </x:c>
      <x:c r="B13" s="9" t="str">
        <x:f>IF(COUNTA(Input_IFRS9_Detail!C3:C21)&gt;=8,"OK","CEK")</x:f>
        <x:v>CEK</x:v>
      </x:c>
      <x:c r="C13" s="17" t="str">
        <x:f>B13</x:f>
        <x:v>CEK</x:v>
      </x:c>
      <x:c r="D13" s="17" t="inlineStr">
        <x:is>
          <x:t xml:space="preserve">Input_IFRS9_Detail</x:t>
        </x:is>
      </x:c>
      <x:c r="E13" s="17" t="inlineStr">
        <x:is>
          <x:t xml:space="preserve">Isi klasifikasi aset &amp; ECL</x:t>
        </x:is>
      </x:c>
      <x:c r="F13" s="17" t="inlineStr">
        <x:is>
          <x:t xml:space="preserve"/>
        </x:is>
      </x:c>
    </x:row>
  </x:sheetData>
  <x:mergeCells>
    <x:mergeCell ref="A1:F1"/>
  </x:mergeCells>
  <x:conditionalFormatting sqref="B3:B13">
    <x:cfRule type="cellIs" dxfId="0" priority="1" operator="equal">
      <x:formula>"OK"</x:formula>
    </x:cfRule>
    <x:cfRule type="cellIs" dxfId="1" priority="2" operator="equal">
      <x:formula>"CEK"</x:formula>
    </x:cfRule>
  </x:conditionalFormatting>
  <x:pageMargins left="0.7" right="0.7" top="0.75" bottom="0.75" header="0.3" footer="0.3"/>
</x:worksheet>
</file>