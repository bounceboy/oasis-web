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Raw_SFP" sheetId="3" state="visible" r:id="rId3"/>
    <sheet xmlns:r="http://schemas.openxmlformats.org/officeDocument/2006/relationships" name="Raw_PL_OCI" sheetId="4" state="visible" r:id="rId4"/>
    <sheet xmlns:r="http://schemas.openxmlformats.org/officeDocument/2006/relationships" name="Raw_CF" sheetId="5" state="visible" r:id="rId5"/>
    <sheet xmlns:r="http://schemas.openxmlformats.org/officeDocument/2006/relationships" name="Raw_IFRS17" sheetId="6" state="visible" r:id="rId6"/>
    <sheet xmlns:r="http://schemas.openxmlformats.org/officeDocument/2006/relationships" name="Raw_IFRS9" sheetId="7" state="visible" r:id="rId7"/>
    <sheet xmlns:r="http://schemas.openxmlformats.org/officeDocument/2006/relationships" name="Input_SFP" sheetId="8" state="visible" r:id="rId8"/>
    <sheet xmlns:r="http://schemas.openxmlformats.org/officeDocument/2006/relationships" name="Input_PL_OCI" sheetId="9" state="visible" r:id="rId9"/>
    <sheet xmlns:r="http://schemas.openxmlformats.org/officeDocument/2006/relationships" name="Input_CF" sheetId="10" state="visible" r:id="rId10"/>
    <sheet xmlns:r="http://schemas.openxmlformats.org/officeDocument/2006/relationships" name="Input_IFRS17_Detail" sheetId="11" state="visible" r:id="rId11"/>
    <sheet xmlns:r="http://schemas.openxmlformats.org/officeDocument/2006/relationships" name="Input_IFRS9_Detail" sheetId="12" state="visible" r:id="rId12"/>
    <sheet xmlns:r="http://schemas.openxmlformats.org/officeDocument/2006/relationships" name="Mapping_Akun" sheetId="13" state="visible" r:id="rId13"/>
    <sheet xmlns:r="http://schemas.openxmlformats.org/officeDocument/2006/relationships" name="Rasio" sheetId="14" state="visible" r:id="rId14"/>
    <sheet xmlns:r="http://schemas.openxmlformats.org/officeDocument/2006/relationships" name="CommonSize_Trend" sheetId="15" state="visible" r:id="rId15"/>
    <sheet xmlns:r="http://schemas.openxmlformats.org/officeDocument/2006/relationships" name="IFRS17_Analysis" sheetId="16" state="visible" r:id="rId16"/>
    <sheet xmlns:r="http://schemas.openxmlformats.org/officeDocument/2006/relationships" name="IFRS9_Analysis" sheetId="17" state="visible" r:id="rId17"/>
    <sheet xmlns:r="http://schemas.openxmlformats.org/officeDocument/2006/relationships" name="Scorecard" sheetId="18" state="visible" r:id="rId18"/>
    <sheet xmlns:r="http://schemas.openxmlformats.org/officeDocument/2006/relationships" name="Auto_Analysis" sheetId="19" state="visible" r:id="rId19"/>
    <sheet xmlns:r="http://schemas.openxmlformats.org/officeDocument/2006/relationships" name="Dashboard" sheetId="20" state="visible" r:id="rId20"/>
    <sheet xmlns:r="http://schemas.openxmlformats.org/officeDocument/2006/relationships" name="Validasi" sheetId="21" state="visible" r:id="rId21"/>
    <sheet xmlns:r="http://schemas.openxmlformats.org/officeDocument/2006/relationships" name="Equity_Research" sheetId="22" state="visible" r:id="rId22"/>
    <sheet xmlns:r="http://schemas.openxmlformats.org/officeDocument/2006/relationships" name="Regulatory_Flags" sheetId="23" state="visible" r:id="rId23"/>
    <sheet xmlns:r="http://schemas.openxmlformats.org/officeDocument/2006/relationships" name="Underwriting_Quality" sheetId="24" state="visible" r:id="rId24"/>
    <sheet xmlns:r="http://schemas.openxmlformats.org/officeDocument/2006/relationships" name="Reserve_Quality" sheetId="25" state="visible" r:id="rId25"/>
    <sheet xmlns:r="http://schemas.openxmlformats.org/officeDocument/2006/relationships" name="Reinsurance_Dependence" sheetId="26" state="visible" r:id="rId26"/>
    <sheet xmlns:r="http://schemas.openxmlformats.org/officeDocument/2006/relationships" name="Earnings_Quality" sheetId="27" state="visible" r:id="rId27"/>
    <sheet xmlns:r="http://schemas.openxmlformats.org/officeDocument/2006/relationships" name="V5_Audit_Log" sheetId="28" state="visible" r:id="rId28"/>
  </sheets>
  <definedNames/>
</workbook>
</file>

<file path=xl/styles.xml><?xml version="1.0" encoding="utf-8"?>
<styleSheet xmlns="http://schemas.openxmlformats.org/spreadsheetml/2006/main">
  <numFmts count="4">
    <numFmt numFmtId="164" formatCode="0.0%"/>
    <numFmt numFmtId="165" formatCode="0.00x"/>
    <numFmt numFmtId="166" formatCode="#,##0_);[Red](#,##0);-"/>
    <numFmt numFmtId="167" formatCode="0.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color rgb="000000FF"/>
    </font>
    <font>
      <color rgb="00666666"/>
    </font>
    <font>
      <color rgb="0000000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F7FBFF"/>
      </patternFill>
    </fill>
  </fills>
  <borders count="3">
    <border>
      <left/>
      <right/>
      <top/>
      <bottom/>
      <diagonal/>
    </border>
    <border>
      <top style="thin">
        <color rgb="00BFBFBF"/>
      </top>
      <bottom style="thin">
        <color rgb="00BFBFBF"/>
      </bottom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0" pivotButton="0" quotePrefix="0" xfId="0"/>
    <xf numFmtId="0" fontId="0" fillId="5" borderId="0" pivotButton="0" quotePrefix="0" xfId="0"/>
    <xf numFmtId="164" fontId="3" fillId="4" borderId="0" pivotButton="0" quotePrefix="0" xfId="0"/>
    <xf numFmtId="165" fontId="3" fillId="4" borderId="0" pivotButton="0" quotePrefix="0" xfId="0"/>
    <xf numFmtId="166" fontId="3" fillId="4" borderId="0" pivotButton="0" quotePrefix="0" xfId="0"/>
    <xf numFmtId="0" fontId="4" fillId="5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166" fontId="2" fillId="8" borderId="0" applyAlignment="1" pivotButton="0" quotePrefix="0" xfId="0">
      <alignment vertical="center" wrapText="1"/>
    </xf>
    <xf numFmtId="164" fontId="2" fillId="8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164" fontId="5" fillId="6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166" fontId="0" fillId="4" borderId="0" applyAlignment="1" pivotButton="0" quotePrefix="0" xfId="0">
      <alignment vertical="center" wrapText="1"/>
    </xf>
    <xf numFmtId="167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164" fontId="0" fillId="6" borderId="2" applyAlignment="1" pivotButton="0" quotePrefix="0" xfId="0">
      <alignment vertical="center" wrapText="1"/>
    </xf>
    <xf numFmtId="165" fontId="0" fillId="6" borderId="2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6" fillId="2" borderId="0" pivotButton="0" quotePrefix="0" xfId="0"/>
    <xf numFmtId="0" fontId="6" fillId="2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20" customWidth="1" min="1" max="1"/>
    <col width="7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35" t="inlineStr">
        <is>
          <t>TEMPLATE ANALISIS LAPORAN KEUANGAN ASURANSI JIWA – IFRS 9 / IFRS 17 (VERSI 4 EXTREME REBUILD)</t>
        </is>
      </c>
    </row>
    <row r="2" ht="22" customHeight="1">
      <c r="A2" s="36" t="n"/>
      <c r="B2" s="36" t="n"/>
    </row>
    <row r="3" ht="22" customHeight="1">
      <c r="A3" s="37" t="inlineStr">
        <is>
          <t>Cara pakai</t>
        </is>
      </c>
      <c r="B3" s="36" t="n"/>
    </row>
    <row r="4" ht="22" customHeight="1">
      <c r="A4" s="36" t="inlineStr">
        <is>
          <t>1. Isi angka audited report di sheet RAW_* (sel input berwarna kuning, font biru).</t>
        </is>
      </c>
      <c r="B4" s="36" t="n"/>
    </row>
    <row r="5" ht="22" customHeight="1">
      <c r="A5" s="36" t="inlineStr">
        <is>
          <t>2. Kolom 'Mapping code' menentukan ke akun standar IFRS 9/IFRS 17 yang dianalisis otomatis.</t>
        </is>
      </c>
      <c r="B5" s="36" t="n"/>
    </row>
    <row r="6" ht="22" customHeight="1">
      <c r="A6" s="36" t="inlineStr">
        <is>
          <t>3. Sheet INPUT_* mengambil angka dari sheet RAW_* dengan formula SUMIFS, jadi Anda bisa menambah baris input bila perlu.</t>
        </is>
      </c>
      <c r="B6" s="36" t="n"/>
    </row>
    <row r="7" ht="22" customHeight="1">
      <c r="A7" s="36" t="inlineStr">
        <is>
          <t>4. Sheet Rasio, CommonSize_Trend, IFRS17_Analysis, IFRS9_Analysis, Scorecard, Auto_Analysis, dan Dashboard akan terisi otomatis.</t>
        </is>
      </c>
      <c r="B7" s="36" t="n"/>
    </row>
    <row r="8" ht="22" customHeight="1">
      <c r="A8" s="36" t="inlineStr">
        <is>
          <t>5. Untuk laporan yang punya 3 tahun komparatif, isi kolom CY, PY, dan PPY. Jika tidak ada, kolom PPY boleh kosong.</t>
        </is>
      </c>
      <c r="B8" s="36" t="n"/>
    </row>
    <row r="9" ht="22" customHeight="1">
      <c r="A9" s="36" t="inlineStr">
        <is>
          <t>6. Gunakan kode DETAIL_ONLY bila ingin menyimpan angka audited report di raw sheet tanpa memengaruhi mapping summary.</t>
        </is>
      </c>
      <c r="B9" s="36" t="n"/>
    </row>
    <row r="10" ht="22" customHeight="1">
      <c r="A10" s="36" t="inlineStr">
        <is>
          <t>7. Validasi utama: neraca balance, ending cash konsisten, profit + OCI = comprehensive income, helper IFRS 17/9 konsisten.</t>
        </is>
      </c>
      <c r="B10" s="36" t="n"/>
    </row>
    <row r="11" ht="22" customHeight="1">
      <c r="A11" s="36" t="inlineStr">
        <is>
          <t>8. Template ini dirancang generik untuk perusahaan yang sudah menerapkan IFRS 9 / IFRS 17; beberapa akun lokal tetap perlu judgement mapping.</t>
        </is>
      </c>
      <c r="B11" s="36" t="n"/>
    </row>
    <row r="12" ht="22" customHeight="1">
      <c r="A12" s="36" t="inlineStr">
        <is>
          <t>9. Versi 4 menambahkan narasi equity-research style, red flags regulator, underwriting quality, reserve quality, reinsurance dependence, dan earnings quality.</t>
        </is>
      </c>
      <c r="B12" s="36" t="n"/>
    </row>
    <row r="13" ht="22" customHeight="1">
      <c r="A13" s="36" t="inlineStr">
        <is>
          <t>10. Sheet baru V4: Equity_Research, Regulatory_Flags, Underwriting_Quality, Reserve_Quality, Reinsurance_Dependence, Earnings_Quality.</t>
        </is>
      </c>
      <c r="B13" s="36" t="n"/>
    </row>
    <row r="14" ht="22" customHeight="1">
      <c r="A14" s="37" t="inlineStr">
        <is>
          <t>11. Untuk perusahaan terisi, sheet-sheet V4 akan menghasilkan narasi otomatis berbasis formula dan rasio pada workbook ini.</t>
        </is>
      </c>
      <c r="B14" s="36" t="n"/>
    </row>
    <row r="15" ht="22" customHeight="1">
      <c r="A15" s="36" t="inlineStr">
        <is>
          <t>Input user</t>
        </is>
      </c>
      <c r="B15" s="36" t="inlineStr">
        <is>
          <t>Sel kuning, font biru</t>
        </is>
      </c>
    </row>
    <row r="16" ht="22" customHeight="1">
      <c r="A16" s="36" t="inlineStr">
        <is>
          <t>Formula</t>
        </is>
      </c>
      <c r="B16" s="36" t="inlineStr">
        <is>
          <t>Font hitam</t>
        </is>
      </c>
    </row>
    <row r="17" ht="22" customHeight="1">
      <c r="A17" s="36" t="inlineStr">
        <is>
          <t>Static / note</t>
        </is>
      </c>
      <c r="B17" s="36" t="inlineStr">
        <is>
          <t>Abu-abu</t>
        </is>
      </c>
    </row>
    <row r="18" ht="22" customHeight="1">
      <c r="A18" s="36" t="inlineStr">
        <is>
          <t>Sheet raw</t>
        </is>
      </c>
      <c r="B18" s="36" t="inlineStr">
        <is>
          <t>Sumber angka audited report</t>
        </is>
      </c>
    </row>
    <row r="19" ht="22" customHeight="1">
      <c r="A19" s="36" t="inlineStr">
        <is>
          <t>Sheet input</t>
        </is>
      </c>
      <c r="B19" s="36" t="inlineStr">
        <is>
          <t>Ringkasan mapped ke akun standar</t>
        </is>
      </c>
    </row>
    <row r="21">
      <c r="A21" s="41" t="inlineStr">
        <is>
          <t>V5 supervisory revision notes</t>
        </is>
      </c>
    </row>
    <row r="22">
      <c r="A22" s="36" t="inlineStr">
        <is>
          <t>Sign convention V5: insurance revenue is positive; claims/benefits, acquisition costs, attributable expenses, and onerous losses are input as positive expenses and deducted by formulas.</t>
        </is>
      </c>
    </row>
    <row r="23">
      <c r="A23" s="36" t="inlineStr">
        <is>
          <t>Reinsurance net result V5: input positive if net income/recovery from reinsurance held; input negative if net expense from reinsurance held.</t>
        </is>
      </c>
    </row>
    <row r="24">
      <c r="A24" s="36" t="inlineStr">
        <is>
          <t>CSM V5: CSM recognised for services provided is input positive as release and deducted from closing CSM.</t>
        </is>
      </c>
    </row>
    <row r="25">
      <c r="A25" s="36" t="inlineStr">
        <is>
          <t>Validation V5: blank/all-zero input is flagged as NO DATA, not OK.</t>
        </is>
      </c>
    </row>
    <row r="26">
      <c r="A26" s="36" t="inlineStr">
        <is>
          <t>IFRS 9 V5: ECL base is reconciled to Stage 1 + Stage 2 + Stage 3 gross exposure.</t>
        </is>
      </c>
    </row>
    <row r="27">
      <c r="A27" s="36" t="inlineStr">
        <is>
          <t>Scorecard V5: metrics with no data/blank denominator do not receive points.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60" customWidth="1" min="3" max="3"/>
  </cols>
  <sheetData>
    <row r="1" ht="24" customHeight="1">
      <c r="A1" s="1" t="inlineStr">
        <is>
          <t>SETUP, PARAMETER, DAN BENCHMARK</t>
        </is>
      </c>
    </row>
    <row r="2"/>
    <row r="3">
      <c r="A3" s="3" t="inlineStr">
        <is>
          <t>Parameter</t>
        </is>
      </c>
      <c r="B3" s="3" t="inlineStr">
        <is>
          <t>Nilai</t>
        </is>
      </c>
      <c r="C3" s="3" t="inlineStr">
        <is>
          <t>Keterangan</t>
        </is>
      </c>
    </row>
    <row r="4">
      <c r="A4" t="inlineStr">
        <is>
          <t>Nama perusahaan</t>
        </is>
      </c>
      <c r="B4" s="4" t="inlineStr"/>
    </row>
    <row r="5">
      <c r="A5" s="5" t="inlineStr">
        <is>
          <t>Sektor</t>
        </is>
      </c>
      <c r="B5" s="4" t="inlineStr">
        <is>
          <t>Asuransi Jiwa</t>
        </is>
      </c>
    </row>
    <row r="6">
      <c r="A6" s="5" t="inlineStr">
        <is>
          <t>Periode analisis</t>
        </is>
      </c>
      <c r="B6" s="4" t="inlineStr">
        <is>
          <t>FY 20XX</t>
        </is>
      </c>
    </row>
    <row r="7">
      <c r="A7" s="5" t="inlineStr">
        <is>
          <t>Mata uang</t>
        </is>
      </c>
      <c r="B7" s="4" t="inlineStr">
        <is>
          <t>IDR</t>
        </is>
      </c>
    </row>
    <row r="8">
      <c r="A8" s="5" t="inlineStr">
        <is>
          <t>Unit</t>
        </is>
      </c>
      <c r="B8" s="4" t="inlineStr">
        <is>
          <t>million Rupiah</t>
        </is>
      </c>
    </row>
    <row r="9">
      <c r="A9" s="5" t="inlineStr">
        <is>
          <t>Sumber</t>
        </is>
      </c>
      <c r="B9" s="4" t="inlineStr">
        <is>
          <t>Audited financial statements</t>
        </is>
      </c>
    </row>
    <row r="10"/>
    <row r="11"/>
    <row r="12">
      <c r="A12" s="2" t="inlineStr">
        <is>
          <t>Threshold</t>
        </is>
      </c>
    </row>
    <row r="13">
      <c r="A13" s="5" t="inlineStr">
        <is>
          <t>Liquidity / cash to liabilities minimum</t>
        </is>
      </c>
      <c r="B13" s="6" t="n">
        <v>0.05</v>
      </c>
    </row>
    <row r="14">
      <c r="A14" s="5" t="inlineStr">
        <is>
          <t>Leverage / liabilities to equity maximum</t>
        </is>
      </c>
      <c r="B14" s="7" t="n">
        <v>3</v>
      </c>
    </row>
    <row r="15">
      <c r="A15" s="5" t="inlineStr">
        <is>
          <t>ROA minimum</t>
        </is>
      </c>
      <c r="B15" s="6" t="n">
        <v>0.01</v>
      </c>
    </row>
    <row r="16">
      <c r="A16" s="5" t="inlineStr">
        <is>
          <t>ROE minimum</t>
        </is>
      </c>
      <c r="B16" s="6" t="n">
        <v>0.05</v>
      </c>
    </row>
    <row r="17">
      <c r="A17" s="5" t="inlineStr">
        <is>
          <t>Claim / loss ratio maximum</t>
        </is>
      </c>
      <c r="B17" s="6" t="n">
        <v>0.7</v>
      </c>
    </row>
    <row r="18">
      <c r="A18" s="5" t="inlineStr">
        <is>
          <t>Expense ratio maximum</t>
        </is>
      </c>
      <c r="B18" s="6" t="n">
        <v>0.35</v>
      </c>
    </row>
    <row r="19">
      <c r="A19" s="5" t="inlineStr">
        <is>
          <t>Combined ratio maximum</t>
        </is>
      </c>
      <c r="B19" s="6" t="n">
        <v>1</v>
      </c>
    </row>
    <row r="20">
      <c r="A20" s="5" t="inlineStr">
        <is>
          <t>Retention ratio minimum</t>
        </is>
      </c>
      <c r="B20" s="6" t="n">
        <v>0.35</v>
      </c>
    </row>
    <row r="21">
      <c r="A21" s="5" t="inlineStr">
        <is>
          <t>ECL coverage minimum</t>
        </is>
      </c>
      <c r="B21" s="6" t="n">
        <v>0.002</v>
      </c>
    </row>
    <row r="22">
      <c r="A22" s="5" t="inlineStr">
        <is>
          <t>Stage 2+3 ratio maximum</t>
        </is>
      </c>
      <c r="B22" s="6" t="n">
        <v>0.1</v>
      </c>
    </row>
    <row r="23">
      <c r="A23" s="5" t="inlineStr">
        <is>
          <t>OCF / profit minimum</t>
        </is>
      </c>
      <c r="B23" s="6" t="n">
        <v>0.8</v>
      </c>
    </row>
    <row r="24">
      <c r="A24" s="5" t="inlineStr">
        <is>
          <t>Reserve leverage maximum</t>
        </is>
      </c>
      <c r="B24" s="7" t="n">
        <v>3</v>
      </c>
    </row>
    <row r="25">
      <c r="A25" s="5" t="inlineStr">
        <is>
          <t>CSM / equity minimum</t>
        </is>
      </c>
      <c r="B25" s="6" t="n">
        <v>0.05</v>
      </c>
    </row>
    <row r="26">
      <c r="A26" s="5" t="inlineStr">
        <is>
          <t>Investment yield minimum</t>
        </is>
      </c>
      <c r="B26" s="7" t="n">
        <v>0.04</v>
      </c>
    </row>
    <row r="27">
      <c r="A27" s="5" t="inlineStr">
        <is>
          <t>Retro / reinsurance dependence maximum</t>
        </is>
      </c>
      <c r="B27" s="6" t="n">
        <v>0.7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42" customWidth="1" min="9" max="9"/>
  </cols>
  <sheetData>
    <row r="1" ht="24" customHeight="1">
      <c r="A1" s="1" t="inlineStr">
        <is>
          <t>RAW INPUT – STATEMENT OF FINANCIAL POSITION</t>
        </is>
      </c>
    </row>
    <row r="2">
      <c r="A2" s="3" t="inlineStr">
        <is>
          <t>Kelompok</t>
        </is>
      </c>
      <c r="B2" s="3" t="inlineStr">
        <is>
          <t>Raw audited line item</t>
        </is>
      </c>
      <c r="C2" s="3" t="inlineStr">
        <is>
          <t>CY</t>
        </is>
      </c>
      <c r="D2" s="3" t="inlineStr">
        <is>
          <t>PY</t>
        </is>
      </c>
      <c r="E2" s="3" t="inlineStr">
        <is>
          <t>PPY</t>
        </is>
      </c>
      <c r="F2" s="3" t="inlineStr">
        <is>
          <t>Mapping code</t>
        </is>
      </c>
      <c r="G2" s="3" t="inlineStr">
        <is>
          <t>Include in summary (Y/N)</t>
        </is>
      </c>
      <c r="H2" s="3" t="inlineStr">
        <is>
          <t>Source / page</t>
        </is>
      </c>
      <c r="I2" s="3" t="inlineStr">
        <is>
          <t>Notes</t>
        </is>
      </c>
    </row>
    <row r="3">
      <c r="A3" t="inlineStr">
        <is>
          <t>Statement</t>
        </is>
      </c>
      <c r="B3" t="inlineStr">
        <is>
          <t>Cash and bank</t>
        </is>
      </c>
      <c r="C3" s="8" t="inlineStr"/>
      <c r="D3" s="8" t="inlineStr"/>
      <c r="E3" s="8" t="inlineStr"/>
      <c r="F3" s="4" t="inlineStr">
        <is>
          <t>SFP_CASH</t>
        </is>
      </c>
      <c r="G3" s="9" t="inlineStr">
        <is>
          <t>Y</t>
        </is>
      </c>
      <c r="H3" s="9" t="inlineStr">
        <is>
          <t>Audited SFP</t>
        </is>
      </c>
      <c r="I3" s="9" t="inlineStr"/>
    </row>
    <row r="4">
      <c r="A4" t="inlineStr">
        <is>
          <t>Statement</t>
        </is>
      </c>
      <c r="B4" t="inlineStr">
        <is>
          <t>Time deposits / money market placement</t>
        </is>
      </c>
      <c r="C4" s="8" t="inlineStr"/>
      <c r="D4" s="8" t="inlineStr"/>
      <c r="E4" s="8" t="inlineStr"/>
      <c r="F4" s="4" t="inlineStr">
        <is>
          <t>SFP_MM</t>
        </is>
      </c>
      <c r="G4" s="9" t="inlineStr">
        <is>
          <t>Y</t>
        </is>
      </c>
      <c r="H4" s="9" t="inlineStr">
        <is>
          <t>Audited SFP/notes</t>
        </is>
      </c>
      <c r="I4" s="9" t="inlineStr"/>
    </row>
    <row r="5">
      <c r="A5" t="inlineStr">
        <is>
          <t>Classification</t>
        </is>
      </c>
      <c r="B5" t="inlineStr">
        <is>
          <t>Investments at FVTPL</t>
        </is>
      </c>
      <c r="C5" s="8" t="inlineStr"/>
      <c r="D5" s="8" t="inlineStr"/>
      <c r="E5" s="8" t="inlineStr"/>
      <c r="F5" s="4" t="inlineStr">
        <is>
          <t>SFP_FVTPL</t>
        </is>
      </c>
      <c r="G5" s="9" t="inlineStr">
        <is>
          <t>Y</t>
        </is>
      </c>
      <c r="H5" s="9" t="inlineStr">
        <is>
          <t>IFRS 9 note</t>
        </is>
      </c>
      <c r="I5" s="9" t="inlineStr"/>
    </row>
    <row r="6">
      <c r="A6" t="inlineStr">
        <is>
          <t>Classification</t>
        </is>
      </c>
      <c r="B6" t="inlineStr">
        <is>
          <t>Debt investments at FVOCI</t>
        </is>
      </c>
      <c r="C6" s="8" t="inlineStr"/>
      <c r="D6" s="8" t="inlineStr"/>
      <c r="E6" s="8" t="inlineStr"/>
      <c r="F6" s="4" t="inlineStr">
        <is>
          <t>SFP_FVOCI_DEBT</t>
        </is>
      </c>
      <c r="G6" s="9" t="inlineStr">
        <is>
          <t>Y</t>
        </is>
      </c>
      <c r="H6" s="9" t="inlineStr">
        <is>
          <t>IFRS 9 note</t>
        </is>
      </c>
      <c r="I6" s="9" t="inlineStr"/>
    </row>
    <row r="7">
      <c r="A7" t="inlineStr">
        <is>
          <t>Classification</t>
        </is>
      </c>
      <c r="B7" t="inlineStr">
        <is>
          <t>Equity investments at FVOCI</t>
        </is>
      </c>
      <c r="C7" s="8" t="inlineStr"/>
      <c r="D7" s="8" t="inlineStr"/>
      <c r="E7" s="8" t="inlineStr"/>
      <c r="F7" s="4" t="inlineStr">
        <is>
          <t>SFP_FVOCI_EQ</t>
        </is>
      </c>
      <c r="G7" s="9" t="inlineStr">
        <is>
          <t>Y</t>
        </is>
      </c>
      <c r="H7" s="9" t="inlineStr">
        <is>
          <t>IFRS 9 note</t>
        </is>
      </c>
      <c r="I7" s="9" t="inlineStr"/>
    </row>
    <row r="8">
      <c r="A8" t="inlineStr">
        <is>
          <t>Classification</t>
        </is>
      </c>
      <c r="B8" t="inlineStr">
        <is>
          <t>Investments at amortised cost</t>
        </is>
      </c>
      <c r="C8" s="8" t="inlineStr"/>
      <c r="D8" s="8" t="inlineStr"/>
      <c r="E8" s="8" t="inlineStr"/>
      <c r="F8" s="4" t="inlineStr">
        <is>
          <t>SFP_AC</t>
        </is>
      </c>
      <c r="G8" s="9" t="inlineStr">
        <is>
          <t>Y</t>
        </is>
      </c>
      <c r="H8" s="9" t="inlineStr">
        <is>
          <t>IFRS 9 note</t>
        </is>
      </c>
      <c r="I8" s="9" t="inlineStr"/>
    </row>
    <row r="9">
      <c r="A9" t="inlineStr">
        <is>
          <t>Statement</t>
        </is>
      </c>
      <c r="B9" t="inlineStr">
        <is>
          <t>Policy loans / mortgage loans</t>
        </is>
      </c>
      <c r="C9" s="8" t="inlineStr"/>
      <c r="D9" s="8" t="inlineStr"/>
      <c r="E9" s="8" t="inlineStr"/>
      <c r="F9" s="4" t="inlineStr">
        <is>
          <t>SFP_LOANS</t>
        </is>
      </c>
      <c r="G9" s="9" t="inlineStr">
        <is>
          <t>Y</t>
        </is>
      </c>
      <c r="H9" s="9" t="inlineStr">
        <is>
          <t>Audited SFP/notes</t>
        </is>
      </c>
      <c r="I9" s="9" t="inlineStr"/>
    </row>
    <row r="10">
      <c r="A10" t="inlineStr">
        <is>
          <t>Statement</t>
        </is>
      </c>
      <c r="B10" t="inlineStr">
        <is>
          <t>Premium and other receivables</t>
        </is>
      </c>
      <c r="C10" s="8" t="inlineStr"/>
      <c r="D10" s="8" t="inlineStr"/>
      <c r="E10" s="8" t="inlineStr"/>
      <c r="F10" s="4" t="inlineStr">
        <is>
          <t>SFP_RECEIV</t>
        </is>
      </c>
      <c r="G10" s="9" t="inlineStr">
        <is>
          <t>Y</t>
        </is>
      </c>
      <c r="H10" s="9" t="inlineStr">
        <is>
          <t>Audited SFP</t>
        </is>
      </c>
      <c r="I10" s="9" t="inlineStr"/>
    </row>
    <row r="11">
      <c r="A11" t="inlineStr">
        <is>
          <t>Statement</t>
        </is>
      </c>
      <c r="B11" t="inlineStr">
        <is>
          <t>Reinsurance contract assets</t>
        </is>
      </c>
      <c r="C11" s="8" t="inlineStr"/>
      <c r="D11" s="8" t="inlineStr"/>
      <c r="E11" s="8" t="inlineStr"/>
      <c r="F11" s="4" t="inlineStr">
        <is>
          <t>SFP_REINS_ASSET</t>
        </is>
      </c>
      <c r="G11" s="9" t="inlineStr">
        <is>
          <t>Y</t>
        </is>
      </c>
      <c r="H11" s="9" t="inlineStr">
        <is>
          <t>IFRS 17 note</t>
        </is>
      </c>
      <c r="I11" s="9" t="inlineStr"/>
    </row>
    <row r="12">
      <c r="A12" t="inlineStr">
        <is>
          <t>Statement</t>
        </is>
      </c>
      <c r="B12" t="inlineStr">
        <is>
          <t>Acquisition cash flow asset</t>
        </is>
      </c>
      <c r="C12" s="8" t="inlineStr"/>
      <c r="D12" s="8" t="inlineStr"/>
      <c r="E12" s="8" t="inlineStr"/>
      <c r="F12" s="4" t="inlineStr">
        <is>
          <t>SFP_ACQASSET</t>
        </is>
      </c>
      <c r="G12" s="9" t="inlineStr">
        <is>
          <t>Y</t>
        </is>
      </c>
      <c r="H12" s="9" t="inlineStr">
        <is>
          <t>IFRS 17 note</t>
        </is>
      </c>
      <c r="I12" s="9" t="inlineStr"/>
    </row>
    <row r="13">
      <c r="A13" t="inlineStr">
        <is>
          <t>Statement</t>
        </is>
      </c>
      <c r="B13" t="inlineStr">
        <is>
          <t>Fixed assets and ROU assets</t>
        </is>
      </c>
      <c r="C13" s="8" t="inlineStr"/>
      <c r="D13" s="8" t="inlineStr"/>
      <c r="E13" s="8" t="inlineStr"/>
      <c r="F13" s="4" t="inlineStr">
        <is>
          <t>SFP_PPE</t>
        </is>
      </c>
      <c r="G13" s="9" t="inlineStr">
        <is>
          <t>Y</t>
        </is>
      </c>
      <c r="H13" s="9" t="inlineStr">
        <is>
          <t>Audited SFP</t>
        </is>
      </c>
      <c r="I13" s="9" t="inlineStr"/>
    </row>
    <row r="14">
      <c r="A14" t="inlineStr">
        <is>
          <t>Statement</t>
        </is>
      </c>
      <c r="B14" t="inlineStr">
        <is>
          <t>Tax asset</t>
        </is>
      </c>
      <c r="C14" s="8" t="inlineStr"/>
      <c r="D14" s="8" t="inlineStr"/>
      <c r="E14" s="8" t="inlineStr"/>
      <c r="F14" s="4" t="inlineStr">
        <is>
          <t>SFP_TAX_ASSET</t>
        </is>
      </c>
      <c r="G14" s="9" t="inlineStr">
        <is>
          <t>Y</t>
        </is>
      </c>
      <c r="H14" s="9" t="inlineStr">
        <is>
          <t>Tax note</t>
        </is>
      </c>
      <c r="I14" s="9" t="inlineStr"/>
    </row>
    <row r="15">
      <c r="A15" t="inlineStr">
        <is>
          <t>Statement</t>
        </is>
      </c>
      <c r="B15" t="inlineStr">
        <is>
          <t>Other assets</t>
        </is>
      </c>
      <c r="C15" s="8" t="inlineStr"/>
      <c r="D15" s="8" t="inlineStr"/>
      <c r="E15" s="8" t="inlineStr"/>
      <c r="F15" s="4" t="inlineStr">
        <is>
          <t>SFP_OTHER</t>
        </is>
      </c>
      <c r="G15" s="9" t="inlineStr">
        <is>
          <t>Y</t>
        </is>
      </c>
      <c r="H15" s="9" t="inlineStr">
        <is>
          <t>Audited SFP</t>
        </is>
      </c>
      <c r="I15" s="9" t="inlineStr"/>
    </row>
    <row r="16">
      <c r="A16" t="inlineStr">
        <is>
          <t>Statement</t>
        </is>
      </c>
      <c r="B16" t="inlineStr">
        <is>
          <t>Insurance contract liabilities</t>
        </is>
      </c>
      <c r="C16" s="8" t="inlineStr"/>
      <c r="D16" s="8" t="inlineStr"/>
      <c r="E16" s="8" t="inlineStr"/>
      <c r="F16" s="4" t="inlineStr">
        <is>
          <t>SFP_INS_LIAB</t>
        </is>
      </c>
      <c r="G16" s="9" t="inlineStr">
        <is>
          <t>Y</t>
        </is>
      </c>
      <c r="H16" s="9" t="inlineStr">
        <is>
          <t>IFRS 17 note</t>
        </is>
      </c>
      <c r="I16" s="9" t="inlineStr"/>
    </row>
    <row r="17">
      <c r="A17" t="inlineStr">
        <is>
          <t>Statement</t>
        </is>
      </c>
      <c r="B17" t="inlineStr">
        <is>
          <t>Reinsurance contract liabilities</t>
        </is>
      </c>
      <c r="C17" s="8" t="inlineStr"/>
      <c r="D17" s="8" t="inlineStr"/>
      <c r="E17" s="8" t="inlineStr"/>
      <c r="F17" s="4" t="inlineStr">
        <is>
          <t>SFP_REINS_LIAB</t>
        </is>
      </c>
      <c r="G17" s="9" t="inlineStr">
        <is>
          <t>Y</t>
        </is>
      </c>
      <c r="H17" s="9" t="inlineStr">
        <is>
          <t>IFRS 17 note</t>
        </is>
      </c>
      <c r="I17" s="9" t="inlineStr"/>
    </row>
    <row r="18">
      <c r="A18" t="inlineStr">
        <is>
          <t>Statement</t>
        </is>
      </c>
      <c r="B18" t="inlineStr">
        <is>
          <t>Investment contract liabilities</t>
        </is>
      </c>
      <c r="C18" s="8" t="inlineStr"/>
      <c r="D18" s="8" t="inlineStr"/>
      <c r="E18" s="8" t="inlineStr"/>
      <c r="F18" s="4" t="inlineStr">
        <is>
          <t>SFP_INVEST_LIAB</t>
        </is>
      </c>
      <c r="G18" s="9" t="inlineStr">
        <is>
          <t>Y</t>
        </is>
      </c>
      <c r="H18" s="9" t="inlineStr">
        <is>
          <t>Audited SFP</t>
        </is>
      </c>
      <c r="I18" s="9" t="inlineStr"/>
    </row>
    <row r="19">
      <c r="A19" t="inlineStr">
        <is>
          <t>Statement</t>
        </is>
      </c>
      <c r="B19" t="inlineStr">
        <is>
          <t>Claims/commission/reinsurance payables</t>
        </is>
      </c>
      <c r="C19" s="8" t="inlineStr"/>
      <c r="D19" s="8" t="inlineStr"/>
      <c r="E19" s="8" t="inlineStr"/>
      <c r="F19" s="4" t="inlineStr">
        <is>
          <t>SFP_PAYABLES</t>
        </is>
      </c>
      <c r="G19" s="9" t="inlineStr">
        <is>
          <t>Y</t>
        </is>
      </c>
      <c r="H19" s="9" t="inlineStr">
        <is>
          <t>Audited SFP</t>
        </is>
      </c>
      <c r="I19" s="9" t="inlineStr"/>
    </row>
    <row r="20">
      <c r="A20" t="inlineStr">
        <is>
          <t>Statement</t>
        </is>
      </c>
      <c r="B20" t="inlineStr">
        <is>
          <t>Tax liabilities</t>
        </is>
      </c>
      <c r="C20" s="8" t="inlineStr"/>
      <c r="D20" s="8" t="inlineStr"/>
      <c r="E20" s="8" t="inlineStr"/>
      <c r="F20" s="4" t="inlineStr">
        <is>
          <t>SFP_TAX_LIAB</t>
        </is>
      </c>
      <c r="G20" s="9" t="inlineStr">
        <is>
          <t>Y</t>
        </is>
      </c>
      <c r="H20" s="9" t="inlineStr">
        <is>
          <t>Tax note</t>
        </is>
      </c>
      <c r="I20" s="9" t="inlineStr"/>
    </row>
    <row r="21">
      <c r="A21" t="inlineStr">
        <is>
          <t>Statement</t>
        </is>
      </c>
      <c r="B21" t="inlineStr">
        <is>
          <t>Lease and borrowing liabilities</t>
        </is>
      </c>
      <c r="C21" s="8" t="inlineStr"/>
      <c r="D21" s="8" t="inlineStr"/>
      <c r="E21" s="8" t="inlineStr"/>
      <c r="F21" s="4" t="inlineStr">
        <is>
          <t>SFP_LEASE_DEBT</t>
        </is>
      </c>
      <c r="G21" s="9" t="inlineStr">
        <is>
          <t>Y</t>
        </is>
      </c>
      <c r="H21" s="9" t="inlineStr">
        <is>
          <t>Borrowing/lease note</t>
        </is>
      </c>
      <c r="I21" s="9" t="inlineStr"/>
    </row>
    <row r="22">
      <c r="A22" t="inlineStr">
        <is>
          <t>Statement</t>
        </is>
      </c>
      <c r="B22" t="inlineStr">
        <is>
          <t>Other liabilities</t>
        </is>
      </c>
      <c r="C22" s="8" t="inlineStr"/>
      <c r="D22" s="8" t="inlineStr"/>
      <c r="E22" s="8" t="inlineStr"/>
      <c r="F22" s="4" t="inlineStr">
        <is>
          <t>SFP_OTHER_LIAB</t>
        </is>
      </c>
      <c r="G22" s="9" t="inlineStr">
        <is>
          <t>Y</t>
        </is>
      </c>
      <c r="H22" s="9" t="inlineStr">
        <is>
          <t>Audited SFP</t>
        </is>
      </c>
      <c r="I22" s="9" t="inlineStr"/>
    </row>
    <row r="23">
      <c r="A23" t="inlineStr">
        <is>
          <t>Statement</t>
        </is>
      </c>
      <c r="B23" t="inlineStr">
        <is>
          <t>Participants' fund / policyholder fund</t>
        </is>
      </c>
      <c r="C23" s="8" t="inlineStr"/>
      <c r="D23" s="8" t="inlineStr"/>
      <c r="E23" s="8" t="inlineStr"/>
      <c r="F23" s="4" t="inlineStr">
        <is>
          <t>SFP_FUNDS</t>
        </is>
      </c>
      <c r="G23" s="9" t="inlineStr">
        <is>
          <t>Y</t>
        </is>
      </c>
      <c r="H23" s="9" t="inlineStr">
        <is>
          <t>Audited SFP</t>
        </is>
      </c>
      <c r="I23" s="9" t="inlineStr"/>
    </row>
    <row r="24">
      <c r="A24" t="inlineStr">
        <is>
          <t>Equity</t>
        </is>
      </c>
      <c r="B24" t="inlineStr">
        <is>
          <t>Share capital</t>
        </is>
      </c>
      <c r="C24" s="8" t="inlineStr"/>
      <c r="D24" s="8" t="inlineStr"/>
      <c r="E24" s="8" t="inlineStr"/>
      <c r="F24" s="4" t="inlineStr">
        <is>
          <t>SFP_SHARECAP</t>
        </is>
      </c>
      <c r="G24" s="9" t="inlineStr">
        <is>
          <t>Y</t>
        </is>
      </c>
      <c r="H24" s="9" t="inlineStr">
        <is>
          <t>Equity note</t>
        </is>
      </c>
      <c r="I24" s="9" t="inlineStr"/>
    </row>
    <row r="25">
      <c r="A25" t="inlineStr">
        <is>
          <t>Equity</t>
        </is>
      </c>
      <c r="B25" t="inlineStr">
        <is>
          <t>Additional paid-in capital</t>
        </is>
      </c>
      <c r="C25" s="8" t="inlineStr"/>
      <c r="D25" s="8" t="inlineStr"/>
      <c r="E25" s="8" t="inlineStr"/>
      <c r="F25" s="4" t="inlineStr">
        <is>
          <t>SFP_APIC</t>
        </is>
      </c>
      <c r="G25" s="9" t="inlineStr">
        <is>
          <t>Y</t>
        </is>
      </c>
      <c r="H25" s="9" t="inlineStr">
        <is>
          <t>Equity note</t>
        </is>
      </c>
      <c r="I25" s="9" t="inlineStr"/>
    </row>
    <row r="26">
      <c r="A26" t="inlineStr">
        <is>
          <t>Equity</t>
        </is>
      </c>
      <c r="B26" t="inlineStr">
        <is>
          <t>Retained earnings</t>
        </is>
      </c>
      <c r="C26" s="8" t="inlineStr"/>
      <c r="D26" s="8" t="inlineStr"/>
      <c r="E26" s="8" t="inlineStr"/>
      <c r="F26" s="4" t="inlineStr">
        <is>
          <t>SFP_RETAINED</t>
        </is>
      </c>
      <c r="G26" s="9" t="inlineStr">
        <is>
          <t>Y</t>
        </is>
      </c>
      <c r="H26" s="9" t="inlineStr">
        <is>
          <t>Equity note</t>
        </is>
      </c>
      <c r="I26" s="9" t="inlineStr"/>
    </row>
    <row r="27">
      <c r="A27" t="inlineStr">
        <is>
          <t>Equity</t>
        </is>
      </c>
      <c r="B27" t="inlineStr">
        <is>
          <t>FVOCI reserve</t>
        </is>
      </c>
      <c r="C27" s="8" t="inlineStr"/>
      <c r="D27" s="8" t="inlineStr"/>
      <c r="E27" s="8" t="inlineStr"/>
      <c r="F27" s="4" t="inlineStr">
        <is>
          <t>SFP_FVOCI_RES</t>
        </is>
      </c>
      <c r="G27" s="9" t="inlineStr">
        <is>
          <t>Y</t>
        </is>
      </c>
      <c r="H27" s="9" t="inlineStr">
        <is>
          <t>OCI note</t>
        </is>
      </c>
      <c r="I27" s="9" t="inlineStr"/>
    </row>
    <row r="28">
      <c r="A28" t="inlineStr">
        <is>
          <t>Equity</t>
        </is>
      </c>
      <c r="B28" t="inlineStr">
        <is>
          <t>Insurance finance OCI reserve</t>
        </is>
      </c>
      <c r="C28" s="8" t="inlineStr"/>
      <c r="D28" s="8" t="inlineStr"/>
      <c r="E28" s="8" t="inlineStr"/>
      <c r="F28" s="4" t="inlineStr">
        <is>
          <t>SFP_IFOCI_RES</t>
        </is>
      </c>
      <c r="G28" s="9" t="inlineStr">
        <is>
          <t>Y</t>
        </is>
      </c>
      <c r="H28" s="9" t="inlineStr">
        <is>
          <t>OCI note</t>
        </is>
      </c>
      <c r="I28" s="9" t="inlineStr"/>
    </row>
    <row r="29">
      <c r="A29" t="inlineStr">
        <is>
          <t>Equity</t>
        </is>
      </c>
      <c r="B29" t="inlineStr">
        <is>
          <t>Other reserves</t>
        </is>
      </c>
      <c r="C29" s="8" t="inlineStr"/>
      <c r="D29" s="8" t="inlineStr"/>
      <c r="E29" s="8" t="inlineStr"/>
      <c r="F29" s="4" t="inlineStr">
        <is>
          <t>SFP_OTHER_EQ</t>
        </is>
      </c>
      <c r="G29" s="9" t="inlineStr">
        <is>
          <t>Y</t>
        </is>
      </c>
      <c r="H29" s="9" t="inlineStr">
        <is>
          <t>Equity note</t>
        </is>
      </c>
      <c r="I29" s="9" t="inlineStr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42" customWidth="1" min="9" max="9"/>
  </cols>
  <sheetData>
    <row r="1" ht="24" customHeight="1">
      <c r="A1" s="1" t="inlineStr">
        <is>
          <t>RAW INPUT – PROFIT OR LOSS &amp; OCI</t>
        </is>
      </c>
    </row>
    <row r="2">
      <c r="A2" s="3" t="inlineStr">
        <is>
          <t>Kelompok</t>
        </is>
      </c>
      <c r="B2" s="3" t="inlineStr">
        <is>
          <t>Raw audited line item</t>
        </is>
      </c>
      <c r="C2" s="3" t="inlineStr">
        <is>
          <t>CY</t>
        </is>
      </c>
      <c r="D2" s="3" t="inlineStr">
        <is>
          <t>PY</t>
        </is>
      </c>
      <c r="E2" s="3" t="inlineStr">
        <is>
          <t>PPY</t>
        </is>
      </c>
      <c r="F2" s="3" t="inlineStr">
        <is>
          <t>Mapping code</t>
        </is>
      </c>
      <c r="G2" s="3" t="inlineStr">
        <is>
          <t>Include in summary (Y/N)</t>
        </is>
      </c>
      <c r="H2" s="3" t="inlineStr">
        <is>
          <t>Source / page</t>
        </is>
      </c>
      <c r="I2" s="3" t="inlineStr">
        <is>
          <t>Notes</t>
        </is>
      </c>
    </row>
    <row r="3">
      <c r="A3" t="inlineStr">
        <is>
          <t>Statement</t>
        </is>
      </c>
      <c r="B3" t="inlineStr">
        <is>
          <t>Insurance revenue</t>
        </is>
      </c>
      <c r="C3" s="8" t="inlineStr"/>
      <c r="D3" s="8" t="inlineStr"/>
      <c r="E3" s="8" t="inlineStr"/>
      <c r="F3" s="4" t="inlineStr">
        <is>
          <t>PL_INS_REV</t>
        </is>
      </c>
      <c r="G3" s="9" t="inlineStr">
        <is>
          <t>Y</t>
        </is>
      </c>
      <c r="H3" s="9" t="inlineStr">
        <is>
          <t>Audited P/L</t>
        </is>
      </c>
      <c r="I3" s="9" t="inlineStr"/>
    </row>
    <row r="4">
      <c r="A4" t="inlineStr">
        <is>
          <t>Statement</t>
        </is>
      </c>
      <c r="B4" t="inlineStr">
        <is>
          <t>Insurance service expense</t>
        </is>
      </c>
      <c r="C4" s="8" t="inlineStr"/>
      <c r="D4" s="8" t="inlineStr"/>
      <c r="E4" s="8" t="inlineStr"/>
      <c r="F4" s="4" t="inlineStr">
        <is>
          <t>PL_INS_EXP</t>
        </is>
      </c>
      <c r="G4" s="9" t="inlineStr">
        <is>
          <t>Y</t>
        </is>
      </c>
      <c r="H4" s="9" t="inlineStr">
        <is>
          <t>Audited P/L</t>
        </is>
      </c>
      <c r="I4" s="9" t="inlineStr"/>
    </row>
    <row r="5">
      <c r="A5" t="inlineStr">
        <is>
          <t>Statement</t>
        </is>
      </c>
      <c r="B5" t="inlineStr">
        <is>
          <t>Net reinsurance result</t>
        </is>
      </c>
      <c r="C5" s="8" t="inlineStr"/>
      <c r="D5" s="8" t="inlineStr"/>
      <c r="E5" s="8" t="inlineStr"/>
      <c r="F5" s="4" t="inlineStr">
        <is>
          <t>PL_REINS_NET</t>
        </is>
      </c>
      <c r="G5" s="9" t="inlineStr">
        <is>
          <t>Y</t>
        </is>
      </c>
      <c r="H5" s="9" t="inlineStr">
        <is>
          <t>Audited P/L</t>
        </is>
      </c>
      <c r="I5" s="9" t="inlineStr"/>
    </row>
    <row r="6">
      <c r="A6" t="inlineStr">
        <is>
          <t>Statement</t>
        </is>
      </c>
      <c r="B6" t="inlineStr">
        <is>
          <t>Investment result</t>
        </is>
      </c>
      <c r="C6" s="8" t="inlineStr"/>
      <c r="D6" s="8" t="inlineStr"/>
      <c r="E6" s="8" t="inlineStr"/>
      <c r="F6" s="4" t="inlineStr">
        <is>
          <t>PL_INV_RES</t>
        </is>
      </c>
      <c r="G6" s="9" t="inlineStr">
        <is>
          <t>Y</t>
        </is>
      </c>
      <c r="H6" s="9" t="inlineStr">
        <is>
          <t>Audited P/L</t>
        </is>
      </c>
      <c r="I6" s="9" t="inlineStr"/>
    </row>
    <row r="7">
      <c r="A7" t="inlineStr">
        <is>
          <t>Statement</t>
        </is>
      </c>
      <c r="B7" t="inlineStr">
        <is>
          <t>Insurance finance result - issued</t>
        </is>
      </c>
      <c r="C7" s="8" t="inlineStr"/>
      <c r="D7" s="8" t="inlineStr"/>
      <c r="E7" s="8" t="inlineStr"/>
      <c r="F7" s="4" t="inlineStr">
        <is>
          <t>PL_IF_FIN</t>
        </is>
      </c>
      <c r="G7" s="9" t="inlineStr">
        <is>
          <t>Y</t>
        </is>
      </c>
      <c r="H7" s="9" t="inlineStr">
        <is>
          <t>Audited P/L</t>
        </is>
      </c>
      <c r="I7" s="9" t="inlineStr"/>
    </row>
    <row r="8">
      <c r="A8" t="inlineStr">
        <is>
          <t>Statement</t>
        </is>
      </c>
      <c r="B8" t="inlineStr">
        <is>
          <t>Insurance finance result - reinsurance</t>
        </is>
      </c>
      <c r="C8" s="8" t="inlineStr"/>
      <c r="D8" s="8" t="inlineStr"/>
      <c r="E8" s="8" t="inlineStr"/>
      <c r="F8" s="4" t="inlineStr">
        <is>
          <t>PL_REINS_FIN</t>
        </is>
      </c>
      <c r="G8" s="9" t="inlineStr">
        <is>
          <t>Y</t>
        </is>
      </c>
      <c r="H8" s="9" t="inlineStr">
        <is>
          <t>Audited P/L</t>
        </is>
      </c>
      <c r="I8" s="9" t="inlineStr"/>
    </row>
    <row r="9">
      <c r="A9" t="inlineStr">
        <is>
          <t>Statement</t>
        </is>
      </c>
      <c r="B9" t="inlineStr">
        <is>
          <t>Impairment / ECL on financial assets</t>
        </is>
      </c>
      <c r="C9" s="8" t="inlineStr"/>
      <c r="D9" s="8" t="inlineStr"/>
      <c r="E9" s="8" t="inlineStr"/>
      <c r="F9" s="4" t="inlineStr">
        <is>
          <t>PL_IMPAIR</t>
        </is>
      </c>
      <c r="G9" s="9" t="inlineStr">
        <is>
          <t>Y</t>
        </is>
      </c>
      <c r="H9" s="9" t="inlineStr">
        <is>
          <t>Audited P/L</t>
        </is>
      </c>
      <c r="I9" s="9" t="inlineStr"/>
    </row>
    <row r="10">
      <c r="A10" t="inlineStr">
        <is>
          <t>Statement</t>
        </is>
      </c>
      <c r="B10" t="inlineStr">
        <is>
          <t>Fees / brokerage / other income</t>
        </is>
      </c>
      <c r="C10" s="8" t="inlineStr"/>
      <c r="D10" s="8" t="inlineStr"/>
      <c r="E10" s="8" t="inlineStr"/>
      <c r="F10" s="4" t="inlineStr">
        <is>
          <t>PL_FEE_OTHER</t>
        </is>
      </c>
      <c r="G10" s="9" t="inlineStr">
        <is>
          <t>Y</t>
        </is>
      </c>
      <c r="H10" s="9" t="inlineStr">
        <is>
          <t>Audited P/L</t>
        </is>
      </c>
      <c r="I10" s="9" t="inlineStr"/>
    </row>
    <row r="11">
      <c r="A11" t="inlineStr">
        <is>
          <t>Statement</t>
        </is>
      </c>
      <c r="B11" t="inlineStr">
        <is>
          <t>Operating expenses outside service expense</t>
        </is>
      </c>
      <c r="C11" s="8" t="inlineStr"/>
      <c r="D11" s="8" t="inlineStr"/>
      <c r="E11" s="8" t="inlineStr"/>
      <c r="F11" s="4" t="inlineStr">
        <is>
          <t>PL_OPEX</t>
        </is>
      </c>
      <c r="G11" s="9" t="inlineStr">
        <is>
          <t>Y</t>
        </is>
      </c>
      <c r="H11" s="9" t="inlineStr">
        <is>
          <t>Audited P/L</t>
        </is>
      </c>
      <c r="I11" s="9" t="inlineStr"/>
    </row>
    <row r="12">
      <c r="A12" t="inlineStr">
        <is>
          <t>Statement</t>
        </is>
      </c>
      <c r="B12" t="inlineStr">
        <is>
          <t>Other non-operating items</t>
        </is>
      </c>
      <c r="C12" s="8" t="inlineStr"/>
      <c r="D12" s="8" t="inlineStr"/>
      <c r="E12" s="8" t="inlineStr"/>
      <c r="F12" s="4" t="inlineStr">
        <is>
          <t>PL_OTHER_NONOP</t>
        </is>
      </c>
      <c r="G12" s="9" t="inlineStr">
        <is>
          <t>Y</t>
        </is>
      </c>
      <c r="H12" s="9" t="inlineStr">
        <is>
          <t>Audited P/L</t>
        </is>
      </c>
      <c r="I12" s="9" t="inlineStr"/>
    </row>
    <row r="13">
      <c r="A13" t="inlineStr">
        <is>
          <t>Statement</t>
        </is>
      </c>
      <c r="B13" t="inlineStr">
        <is>
          <t>Income tax expense</t>
        </is>
      </c>
      <c r="C13" s="8" t="inlineStr"/>
      <c r="D13" s="8" t="inlineStr"/>
      <c r="E13" s="8" t="inlineStr"/>
      <c r="F13" s="4" t="inlineStr">
        <is>
          <t>PL_TAX</t>
        </is>
      </c>
      <c r="G13" s="9" t="inlineStr">
        <is>
          <t>Y</t>
        </is>
      </c>
      <c r="H13" s="9" t="inlineStr">
        <is>
          <t>Audited P/L</t>
        </is>
      </c>
      <c r="I13" s="9" t="inlineStr"/>
    </row>
    <row r="14">
      <c r="A14" t="inlineStr">
        <is>
          <t>OCI</t>
        </is>
      </c>
      <c r="B14" t="inlineStr">
        <is>
          <t>FVOCI reserve movement</t>
        </is>
      </c>
      <c r="C14" s="8" t="inlineStr"/>
      <c r="D14" s="8" t="inlineStr"/>
      <c r="E14" s="8" t="inlineStr"/>
      <c r="F14" s="4" t="inlineStr">
        <is>
          <t>OCI_FVOCI</t>
        </is>
      </c>
      <c r="G14" s="9" t="inlineStr">
        <is>
          <t>Y</t>
        </is>
      </c>
      <c r="H14" s="9" t="inlineStr">
        <is>
          <t>OCI</t>
        </is>
      </c>
      <c r="I14" s="9" t="inlineStr"/>
    </row>
    <row r="15">
      <c r="A15" t="inlineStr">
        <is>
          <t>OCI</t>
        </is>
      </c>
      <c r="B15" t="inlineStr">
        <is>
          <t>Insurance finance OCI</t>
        </is>
      </c>
      <c r="C15" s="8" t="inlineStr"/>
      <c r="D15" s="8" t="inlineStr"/>
      <c r="E15" s="8" t="inlineStr"/>
      <c r="F15" s="4" t="inlineStr">
        <is>
          <t>OCI_IFOCI</t>
        </is>
      </c>
      <c r="G15" s="9" t="inlineStr">
        <is>
          <t>Y</t>
        </is>
      </c>
      <c r="H15" s="9" t="inlineStr">
        <is>
          <t>OCI</t>
        </is>
      </c>
      <c r="I15" s="9" t="inlineStr"/>
    </row>
    <row r="16">
      <c r="A16" t="inlineStr">
        <is>
          <t>OCI</t>
        </is>
      </c>
      <c r="B16" t="inlineStr">
        <is>
          <t>Other OCI</t>
        </is>
      </c>
      <c r="C16" s="8" t="inlineStr"/>
      <c r="D16" s="8" t="inlineStr"/>
      <c r="E16" s="8" t="inlineStr"/>
      <c r="F16" s="4" t="inlineStr">
        <is>
          <t>OCI_OTHER</t>
        </is>
      </c>
      <c r="G16" s="9" t="inlineStr">
        <is>
          <t>Y</t>
        </is>
      </c>
      <c r="H16" s="9" t="inlineStr">
        <is>
          <t>OCI</t>
        </is>
      </c>
      <c r="I16" s="9" t="inlineStr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42" customWidth="1" min="9" max="9"/>
  </cols>
  <sheetData>
    <row r="1" ht="24" customHeight="1">
      <c r="A1" s="1" t="inlineStr">
        <is>
          <t>RAW INPUT – CASH FLOWS</t>
        </is>
      </c>
    </row>
    <row r="2">
      <c r="A2" s="3" t="inlineStr">
        <is>
          <t>Kelompok</t>
        </is>
      </c>
      <c r="B2" s="3" t="inlineStr">
        <is>
          <t>Raw audited line item</t>
        </is>
      </c>
      <c r="C2" s="3" t="inlineStr">
        <is>
          <t>CY</t>
        </is>
      </c>
      <c r="D2" s="3" t="inlineStr">
        <is>
          <t>PY</t>
        </is>
      </c>
      <c r="E2" s="3" t="inlineStr">
        <is>
          <t>PPY</t>
        </is>
      </c>
      <c r="F2" s="3" t="inlineStr">
        <is>
          <t>Mapping code</t>
        </is>
      </c>
      <c r="G2" s="3" t="inlineStr">
        <is>
          <t>Include in summary (Y/N)</t>
        </is>
      </c>
      <c r="H2" s="3" t="inlineStr">
        <is>
          <t>Source / page</t>
        </is>
      </c>
      <c r="I2" s="3" t="inlineStr">
        <is>
          <t>Notes</t>
        </is>
      </c>
    </row>
    <row r="3">
      <c r="A3" t="inlineStr">
        <is>
          <t>Operating</t>
        </is>
      </c>
      <c r="B3" t="inlineStr">
        <is>
          <t>Operating cash flow</t>
        </is>
      </c>
      <c r="C3" s="8" t="inlineStr"/>
      <c r="D3" s="8" t="inlineStr"/>
      <c r="E3" s="8" t="inlineStr"/>
      <c r="F3" s="4" t="inlineStr">
        <is>
          <t>CF_OPER</t>
        </is>
      </c>
      <c r="G3" s="9" t="inlineStr">
        <is>
          <t>Y</t>
        </is>
      </c>
      <c r="H3" s="9" t="inlineStr">
        <is>
          <t>Audited CF</t>
        </is>
      </c>
      <c r="I3" s="9" t="inlineStr"/>
    </row>
    <row r="4">
      <c r="A4" t="inlineStr">
        <is>
          <t>Investing</t>
        </is>
      </c>
      <c r="B4" t="inlineStr">
        <is>
          <t>Investing cash flow</t>
        </is>
      </c>
      <c r="C4" s="8" t="inlineStr"/>
      <c r="D4" s="8" t="inlineStr"/>
      <c r="E4" s="8" t="inlineStr"/>
      <c r="F4" s="4" t="inlineStr">
        <is>
          <t>CF_INVEST</t>
        </is>
      </c>
      <c r="G4" s="9" t="inlineStr">
        <is>
          <t>Y</t>
        </is>
      </c>
      <c r="H4" s="9" t="inlineStr">
        <is>
          <t>Audited CF</t>
        </is>
      </c>
      <c r="I4" s="9" t="inlineStr"/>
    </row>
    <row r="5">
      <c r="A5" t="inlineStr">
        <is>
          <t>Financing</t>
        </is>
      </c>
      <c r="B5" t="inlineStr">
        <is>
          <t>Financing cash flow</t>
        </is>
      </c>
      <c r="C5" s="8" t="inlineStr"/>
      <c r="D5" s="8" t="inlineStr"/>
      <c r="E5" s="8" t="inlineStr"/>
      <c r="F5" s="4" t="inlineStr">
        <is>
          <t>CF_FIN</t>
        </is>
      </c>
      <c r="G5" s="9" t="inlineStr">
        <is>
          <t>Y</t>
        </is>
      </c>
      <c r="H5" s="9" t="inlineStr">
        <is>
          <t>Audited CF</t>
        </is>
      </c>
      <c r="I5" s="9" t="inlineStr"/>
    </row>
    <row r="6">
      <c r="A6" t="inlineStr">
        <is>
          <t>Reconciling</t>
        </is>
      </c>
      <c r="B6" t="inlineStr">
        <is>
          <t>FX / other reconciling item</t>
        </is>
      </c>
      <c r="C6" s="8" t="inlineStr"/>
      <c r="D6" s="8" t="inlineStr"/>
      <c r="E6" s="8" t="inlineStr"/>
      <c r="F6" s="4" t="inlineStr">
        <is>
          <t>CF_OTHER</t>
        </is>
      </c>
      <c r="G6" s="9" t="inlineStr">
        <is>
          <t>Y</t>
        </is>
      </c>
      <c r="H6" s="9" t="inlineStr">
        <is>
          <t>Audited CF</t>
        </is>
      </c>
      <c r="I6" s="9" t="inlineStr">
        <is>
          <t>optional; 0 if not disclosed</t>
        </is>
      </c>
    </row>
    <row r="7">
      <c r="A7" t="inlineStr">
        <is>
          <t>Balance</t>
        </is>
      </c>
      <c r="B7" t="inlineStr">
        <is>
          <t>Opening cash</t>
        </is>
      </c>
      <c r="C7" s="8" t="inlineStr"/>
      <c r="D7" s="8" t="inlineStr"/>
      <c r="E7" s="8" t="inlineStr"/>
      <c r="F7" s="4" t="inlineStr">
        <is>
          <t>CF_BEGIN</t>
        </is>
      </c>
      <c r="G7" s="9" t="inlineStr">
        <is>
          <t>Y</t>
        </is>
      </c>
      <c r="H7" s="9" t="inlineStr">
        <is>
          <t>Audited CF</t>
        </is>
      </c>
      <c r="I7" s="9" t="inlineStr"/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42" customWidth="1" min="9" max="9"/>
  </cols>
  <sheetData>
    <row r="1" ht="24" customHeight="1">
      <c r="A1" s="1" t="inlineStr">
        <is>
          <t>RAW INPUT – IFRS 17 / PSAK 117 (ASURANSI JIWA)</t>
        </is>
      </c>
    </row>
    <row r="2">
      <c r="A2" s="3" t="inlineStr">
        <is>
          <t>Kelompok</t>
        </is>
      </c>
      <c r="B2" s="3" t="inlineStr">
        <is>
          <t>Raw audited line item</t>
        </is>
      </c>
      <c r="C2" s="3" t="inlineStr">
        <is>
          <t>CY</t>
        </is>
      </c>
      <c r="D2" s="3" t="inlineStr">
        <is>
          <t>PY</t>
        </is>
      </c>
      <c r="E2" s="3" t="inlineStr">
        <is>
          <t>PPY</t>
        </is>
      </c>
      <c r="F2" s="3" t="inlineStr">
        <is>
          <t>Mapping code</t>
        </is>
      </c>
      <c r="G2" s="3" t="inlineStr">
        <is>
          <t>Include in summary (Y/N)</t>
        </is>
      </c>
      <c r="H2" s="3" t="inlineStr">
        <is>
          <t>Source / page</t>
        </is>
      </c>
      <c r="I2" s="3" t="inlineStr">
        <is>
          <t>Notes</t>
        </is>
      </c>
    </row>
    <row r="3">
      <c r="A3" t="inlineStr">
        <is>
          <t>Hasil jasa</t>
        </is>
      </c>
      <c r="B3" t="inlineStr">
        <is>
          <t>Insurance revenue total</t>
        </is>
      </c>
      <c r="C3" s="8" t="inlineStr"/>
      <c r="D3" s="8" t="inlineStr"/>
      <c r="E3" s="8" t="inlineStr"/>
      <c r="F3" s="4" t="inlineStr">
        <is>
          <t>I17_REV</t>
        </is>
      </c>
      <c r="G3" s="9" t="inlineStr">
        <is>
          <t>Y</t>
        </is>
      </c>
      <c r="H3" s="9" t="inlineStr">
        <is>
          <t>IFRS 17 note</t>
        </is>
      </c>
      <c r="I3" s="9" t="inlineStr"/>
    </row>
    <row r="4">
      <c r="A4" t="inlineStr">
        <is>
          <t>Hasil jasa</t>
        </is>
      </c>
      <c r="B4" t="inlineStr">
        <is>
          <t>Claims and benefits incurred</t>
        </is>
      </c>
      <c r="C4" s="8" t="inlineStr"/>
      <c r="D4" s="8" t="inlineStr"/>
      <c r="E4" s="8" t="inlineStr"/>
      <c r="F4" s="4" t="inlineStr">
        <is>
          <t>I17_CLAIMS</t>
        </is>
      </c>
      <c r="G4" s="9" t="inlineStr">
        <is>
          <t>Y</t>
        </is>
      </c>
      <c r="H4" s="9" t="inlineStr">
        <is>
          <t>IFRS 17 note</t>
        </is>
      </c>
      <c r="I4" s="9" t="inlineStr">
        <is>
          <t>V5: input positif sebagai beban/loss; formula akan mengurangkan dari insurance service result.</t>
        </is>
      </c>
    </row>
    <row r="5">
      <c r="A5" t="inlineStr">
        <is>
          <t>Hasil jasa</t>
        </is>
      </c>
      <c r="B5" t="inlineStr">
        <is>
          <t>Acquisition cash flow amortisation / commissions in service expense</t>
        </is>
      </c>
      <c r="C5" s="8" t="inlineStr"/>
      <c r="D5" s="8" t="inlineStr"/>
      <c r="E5" s="8" t="inlineStr"/>
      <c r="F5" s="4" t="inlineStr">
        <is>
          <t>I17_ACQ_AMORT</t>
        </is>
      </c>
      <c r="G5" s="9" t="inlineStr">
        <is>
          <t>Y</t>
        </is>
      </c>
      <c r="H5" s="9" t="inlineStr">
        <is>
          <t>IFRS 17 note</t>
        </is>
      </c>
      <c r="I5" s="9" t="inlineStr">
        <is>
          <t>V5: input positif sebagai beban/loss; formula akan mengurangkan dari insurance service result.</t>
        </is>
      </c>
    </row>
    <row r="6">
      <c r="A6" t="inlineStr">
        <is>
          <t>Hasil jasa</t>
        </is>
      </c>
      <c r="B6" t="inlineStr">
        <is>
          <t>Other directly attributable expenses</t>
        </is>
      </c>
      <c r="C6" s="8" t="inlineStr"/>
      <c r="D6" s="8" t="inlineStr"/>
      <c r="E6" s="8" t="inlineStr"/>
      <c r="F6" s="4" t="inlineStr">
        <is>
          <t>I17_OTHER_EXP</t>
        </is>
      </c>
      <c r="G6" s="9" t="inlineStr">
        <is>
          <t>Y</t>
        </is>
      </c>
      <c r="H6" s="9" t="inlineStr">
        <is>
          <t>IFRS 17 note</t>
        </is>
      </c>
      <c r="I6" s="9" t="inlineStr">
        <is>
          <t>V5: input positif sebagai beban/loss; formula akan mengurangkan dari insurance service result.</t>
        </is>
      </c>
    </row>
    <row r="7">
      <c r="A7" t="inlineStr">
        <is>
          <t>Hasil jasa</t>
        </is>
      </c>
      <c r="B7" t="inlineStr">
        <is>
          <t>Losses on onerous contracts and reversals</t>
        </is>
      </c>
      <c r="C7" s="8" t="inlineStr"/>
      <c r="D7" s="8" t="inlineStr"/>
      <c r="E7" s="8" t="inlineStr"/>
      <c r="F7" s="4" t="inlineStr">
        <is>
          <t>I17_ONEROUS</t>
        </is>
      </c>
      <c r="G7" s="9" t="inlineStr">
        <is>
          <t>Y</t>
        </is>
      </c>
      <c r="H7" s="9" t="inlineStr">
        <is>
          <t>IFRS 17 note</t>
        </is>
      </c>
      <c r="I7" s="9" t="inlineStr">
        <is>
          <t>V5: input positif sebagai beban/loss; formula akan mengurangkan dari insurance service result.</t>
        </is>
      </c>
    </row>
    <row r="8">
      <c r="A8" t="inlineStr">
        <is>
          <t>Reasuransi</t>
        </is>
      </c>
      <c r="B8" t="inlineStr">
        <is>
          <t>Net expense/(income) from reinsurance contracts held</t>
        </is>
      </c>
      <c r="C8" s="8" t="inlineStr"/>
      <c r="D8" s="8" t="inlineStr"/>
      <c r="E8" s="8" t="inlineStr"/>
      <c r="F8" s="4" t="inlineStr">
        <is>
          <t>I17_REINS_NET</t>
        </is>
      </c>
      <c r="G8" s="9" t="inlineStr">
        <is>
          <t>Y</t>
        </is>
      </c>
      <c r="H8" s="9" t="inlineStr">
        <is>
          <t>IFRS 17 note</t>
        </is>
      </c>
      <c r="I8" s="9" t="inlineStr">
        <is>
          <t>V5: input positif jika net income/recovery; negatif jika net expense dari reinsurance held.</t>
        </is>
      </c>
    </row>
    <row r="9">
      <c r="A9" t="inlineStr">
        <is>
          <t>Keuangan</t>
        </is>
      </c>
      <c r="B9" t="inlineStr">
        <is>
          <t>Insurance finance income/(expense) - contracts issued</t>
        </is>
      </c>
      <c r="C9" s="8" t="inlineStr"/>
      <c r="D9" s="8" t="inlineStr"/>
      <c r="E9" s="8" t="inlineStr"/>
      <c r="F9" s="4" t="inlineStr">
        <is>
          <t>I17_FIN_ISSUED</t>
        </is>
      </c>
      <c r="G9" s="9" t="inlineStr">
        <is>
          <t>Y</t>
        </is>
      </c>
      <c r="H9" s="9" t="inlineStr">
        <is>
          <t>IFRS 17 note</t>
        </is>
      </c>
      <c r="I9" s="9" t="inlineStr"/>
    </row>
    <row r="10">
      <c r="A10" t="inlineStr">
        <is>
          <t>Keuangan</t>
        </is>
      </c>
      <c r="B10" t="inlineStr">
        <is>
          <t>Insurance finance income/(expense) - reinsurance held</t>
        </is>
      </c>
      <c r="C10" s="8" t="inlineStr"/>
      <c r="D10" s="8" t="inlineStr"/>
      <c r="E10" s="8" t="inlineStr"/>
      <c r="F10" s="4" t="inlineStr">
        <is>
          <t>I17_FIN_REINS</t>
        </is>
      </c>
      <c r="G10" s="9" t="inlineStr">
        <is>
          <t>Y</t>
        </is>
      </c>
      <c r="H10" s="9" t="inlineStr">
        <is>
          <t>IFRS 17 note</t>
        </is>
      </c>
      <c r="I10" s="9" t="inlineStr"/>
    </row>
    <row r="11">
      <c r="A11" t="inlineStr">
        <is>
          <t>Posisi keuangan</t>
        </is>
      </c>
      <c r="B11" t="inlineStr">
        <is>
          <t>Insurance contract liabilities</t>
        </is>
      </c>
      <c r="C11" s="8" t="inlineStr"/>
      <c r="D11" s="8" t="inlineStr"/>
      <c r="E11" s="8" t="inlineStr"/>
      <c r="F11" s="4" t="inlineStr">
        <is>
          <t>I17_LIAB</t>
        </is>
      </c>
      <c r="G11" s="9" t="inlineStr">
        <is>
          <t>Y</t>
        </is>
      </c>
      <c r="H11" s="9" t="inlineStr">
        <is>
          <t>IFRS 17 note</t>
        </is>
      </c>
      <c r="I11" s="9" t="inlineStr"/>
    </row>
    <row r="12">
      <c r="A12" t="inlineStr">
        <is>
          <t>Posisi keuangan</t>
        </is>
      </c>
      <c r="B12" t="inlineStr">
        <is>
          <t>Reinsurance contract assets</t>
        </is>
      </c>
      <c r="C12" s="8" t="inlineStr"/>
      <c r="D12" s="8" t="inlineStr"/>
      <c r="E12" s="8" t="inlineStr"/>
      <c r="F12" s="4" t="inlineStr">
        <is>
          <t>I17_REINS_ASSET</t>
        </is>
      </c>
      <c r="G12" s="9" t="inlineStr">
        <is>
          <t>Y</t>
        </is>
      </c>
      <c r="H12" s="9" t="inlineStr">
        <is>
          <t>IFRS 17 note</t>
        </is>
      </c>
      <c r="I12" s="9" t="inlineStr"/>
    </row>
    <row r="13">
      <c r="A13" t="inlineStr">
        <is>
          <t>Posisi keuangan</t>
        </is>
      </c>
      <c r="B13" t="inlineStr">
        <is>
          <t>Reinsurance contract liabilities</t>
        </is>
      </c>
      <c r="C13" s="8" t="inlineStr"/>
      <c r="D13" s="8" t="inlineStr"/>
      <c r="E13" s="8" t="inlineStr"/>
      <c r="F13" s="4" t="inlineStr">
        <is>
          <t>I17_REINS_LIAB</t>
        </is>
      </c>
      <c r="G13" s="9" t="inlineStr">
        <is>
          <t>Y</t>
        </is>
      </c>
      <c r="H13" s="9" t="inlineStr">
        <is>
          <t>IFRS 17 note</t>
        </is>
      </c>
      <c r="I13" s="9" t="inlineStr"/>
    </row>
    <row r="14">
      <c r="A14" t="inlineStr">
        <is>
          <t>Posisi keuangan</t>
        </is>
      </c>
      <c r="B14" t="inlineStr">
        <is>
          <t>Liability for remaining coverage (LRC) excl. loss component</t>
        </is>
      </c>
      <c r="C14" s="8" t="inlineStr"/>
      <c r="D14" s="8" t="inlineStr"/>
      <c r="E14" s="8" t="inlineStr"/>
      <c r="F14" s="4" t="inlineStr">
        <is>
          <t>I17_LRC</t>
        </is>
      </c>
      <c r="G14" s="9" t="inlineStr">
        <is>
          <t>Y</t>
        </is>
      </c>
      <c r="H14" s="9" t="inlineStr">
        <is>
          <t>IFRS 17 note</t>
        </is>
      </c>
      <c r="I14" s="9" t="inlineStr"/>
    </row>
    <row r="15">
      <c r="A15" t="inlineStr">
        <is>
          <t>Posisi keuangan</t>
        </is>
      </c>
      <c r="B15" t="inlineStr">
        <is>
          <t>Liability for incurred claims (LIC)</t>
        </is>
      </c>
      <c r="C15" s="8" t="inlineStr"/>
      <c r="D15" s="8" t="inlineStr"/>
      <c r="E15" s="8" t="inlineStr"/>
      <c r="F15" s="4" t="inlineStr">
        <is>
          <t>I17_LIC</t>
        </is>
      </c>
      <c r="G15" s="9" t="inlineStr">
        <is>
          <t>Y</t>
        </is>
      </c>
      <c r="H15" s="9" t="inlineStr">
        <is>
          <t>IFRS 17 note</t>
        </is>
      </c>
      <c r="I15" s="9" t="inlineStr"/>
    </row>
    <row r="16">
      <c r="A16" t="inlineStr">
        <is>
          <t>Posisi keuangan</t>
        </is>
      </c>
      <c r="B16" t="inlineStr">
        <is>
          <t>Loss component</t>
        </is>
      </c>
      <c r="C16" s="8" t="inlineStr"/>
      <c r="D16" s="8" t="inlineStr"/>
      <c r="E16" s="8" t="inlineStr"/>
      <c r="F16" s="4" t="inlineStr">
        <is>
          <t>I17_LOSSCOMP</t>
        </is>
      </c>
      <c r="G16" s="9" t="inlineStr">
        <is>
          <t>Y</t>
        </is>
      </c>
      <c r="H16" s="9" t="inlineStr">
        <is>
          <t>IFRS 17 note</t>
        </is>
      </c>
      <c r="I16" s="9" t="inlineStr"/>
    </row>
    <row r="17">
      <c r="A17" t="inlineStr">
        <is>
          <t>Posisi keuangan</t>
        </is>
      </c>
      <c r="B17" t="inlineStr">
        <is>
          <t>Risk adjustment for non-financial risk</t>
        </is>
      </c>
      <c r="C17" s="8" t="inlineStr"/>
      <c r="D17" s="8" t="inlineStr"/>
      <c r="E17" s="8" t="inlineStr"/>
      <c r="F17" s="4" t="inlineStr">
        <is>
          <t>I17_RA</t>
        </is>
      </c>
      <c r="G17" s="9" t="inlineStr">
        <is>
          <t>Y</t>
        </is>
      </c>
      <c r="H17" s="9" t="inlineStr">
        <is>
          <t>IFRS 17 note</t>
        </is>
      </c>
      <c r="I17" s="9" t="inlineStr"/>
    </row>
    <row r="18">
      <c r="A18" t="inlineStr">
        <is>
          <t>CSM</t>
        </is>
      </c>
      <c r="B18" t="inlineStr">
        <is>
          <t>Opening CSM</t>
        </is>
      </c>
      <c r="C18" s="8" t="inlineStr"/>
      <c r="D18" s="8" t="inlineStr"/>
      <c r="E18" s="8" t="inlineStr"/>
      <c r="F18" s="4" t="inlineStr">
        <is>
          <t>I17_CSM_OPEN</t>
        </is>
      </c>
      <c r="G18" s="9" t="inlineStr">
        <is>
          <t>Y</t>
        </is>
      </c>
      <c r="H18" s="9" t="inlineStr">
        <is>
          <t>IFRS 17 note</t>
        </is>
      </c>
      <c r="I18" s="9" t="inlineStr"/>
    </row>
    <row r="19">
      <c r="A19" t="inlineStr">
        <is>
          <t>CSM</t>
        </is>
      </c>
      <c r="B19" t="inlineStr">
        <is>
          <t>New business / contracts issued</t>
        </is>
      </c>
      <c r="C19" s="8" t="inlineStr"/>
      <c r="D19" s="8" t="inlineStr"/>
      <c r="E19" s="8" t="inlineStr"/>
      <c r="F19" s="4" t="inlineStr">
        <is>
          <t>I17_CSM_NEW</t>
        </is>
      </c>
      <c r="G19" s="9" t="inlineStr">
        <is>
          <t>Y</t>
        </is>
      </c>
      <c r="H19" s="9" t="inlineStr">
        <is>
          <t>IFRS 17 note</t>
        </is>
      </c>
      <c r="I19" s="9" t="inlineStr"/>
    </row>
    <row r="20">
      <c r="A20" t="inlineStr">
        <is>
          <t>CSM</t>
        </is>
      </c>
      <c r="B20" t="inlineStr">
        <is>
          <t>Interest accretion on CSM</t>
        </is>
      </c>
      <c r="C20" s="8" t="inlineStr"/>
      <c r="D20" s="8" t="inlineStr"/>
      <c r="E20" s="8" t="inlineStr"/>
      <c r="F20" s="4" t="inlineStr">
        <is>
          <t>I17_CSM_ACC</t>
        </is>
      </c>
      <c r="G20" s="9" t="inlineStr">
        <is>
          <t>Y</t>
        </is>
      </c>
      <c r="H20" s="9" t="inlineStr">
        <is>
          <t>IFRS 17 note</t>
        </is>
      </c>
      <c r="I20" s="9" t="inlineStr"/>
    </row>
    <row r="21">
      <c r="A21" t="inlineStr">
        <is>
          <t>CSM</t>
        </is>
      </c>
      <c r="B21" t="inlineStr">
        <is>
          <t>Changes related to future service</t>
        </is>
      </c>
      <c r="C21" s="8" t="inlineStr"/>
      <c r="D21" s="8" t="inlineStr"/>
      <c r="E21" s="8" t="inlineStr"/>
      <c r="F21" s="4" t="inlineStr">
        <is>
          <t>I17_CSM_FUT</t>
        </is>
      </c>
      <c r="G21" s="9" t="inlineStr">
        <is>
          <t>Y</t>
        </is>
      </c>
      <c r="H21" s="9" t="inlineStr">
        <is>
          <t>IFRS 17 note</t>
        </is>
      </c>
      <c r="I21" s="9" t="inlineStr"/>
    </row>
    <row r="22">
      <c r="A22" t="inlineStr">
        <is>
          <t>CSM</t>
        </is>
      </c>
      <c r="B22" t="inlineStr">
        <is>
          <t>CSM recognised for services provided</t>
        </is>
      </c>
      <c r="C22" s="8" t="inlineStr"/>
      <c r="D22" s="8" t="inlineStr"/>
      <c r="E22" s="8" t="inlineStr"/>
      <c r="F22" s="4" t="inlineStr">
        <is>
          <t>I17_CSM_SERV</t>
        </is>
      </c>
      <c r="G22" s="9" t="inlineStr">
        <is>
          <t>Y</t>
        </is>
      </c>
      <c r="H22" s="9" t="inlineStr">
        <is>
          <t>IFRS 17 note</t>
        </is>
      </c>
      <c r="I22" s="9" t="inlineStr">
        <is>
          <t>V5: input positif sebagai CSM release/services provided; formula closing CSM akan mengurangkan.</t>
        </is>
      </c>
    </row>
    <row r="23">
      <c r="A23" t="inlineStr">
        <is>
          <t>CSM</t>
        </is>
      </c>
      <c r="B23" t="inlineStr">
        <is>
          <t>FX and other movements</t>
        </is>
      </c>
      <c r="C23" s="8" t="inlineStr"/>
      <c r="D23" s="8" t="inlineStr"/>
      <c r="E23" s="8" t="inlineStr"/>
      <c r="F23" s="4" t="inlineStr">
        <is>
          <t>I17_CSM_OTHER</t>
        </is>
      </c>
      <c r="G23" s="9" t="inlineStr">
        <is>
          <t>Y</t>
        </is>
      </c>
      <c r="H23" s="9" t="inlineStr">
        <is>
          <t>IFRS 17 note</t>
        </is>
      </c>
      <c r="I23" s="9" t="inlineStr"/>
    </row>
    <row r="24">
      <c r="A24" t="inlineStr">
        <is>
          <t>Operasional</t>
        </is>
      </c>
      <c r="B24" t="inlineStr">
        <is>
          <t>Insurance acquisition cash flow asset</t>
        </is>
      </c>
      <c r="C24" s="8" t="inlineStr"/>
      <c r="D24" s="8" t="inlineStr"/>
      <c r="E24" s="8" t="inlineStr"/>
      <c r="F24" s="4" t="inlineStr">
        <is>
          <t>I17_ACQASSET</t>
        </is>
      </c>
      <c r="G24" s="9" t="inlineStr">
        <is>
          <t>Y</t>
        </is>
      </c>
      <c r="H24" s="9" t="inlineStr">
        <is>
          <t>IFRS 17 note</t>
        </is>
      </c>
      <c r="I24" s="9" t="inlineStr"/>
    </row>
    <row r="25">
      <c r="A25" t="inlineStr">
        <is>
          <t>Operasional</t>
        </is>
      </c>
      <c r="B25" t="inlineStr">
        <is>
          <t>Policies in force / coverage units</t>
        </is>
      </c>
      <c r="C25" s="8" t="inlineStr"/>
      <c r="D25" s="8" t="inlineStr"/>
      <c r="E25" s="8" t="inlineStr"/>
      <c r="F25" s="4" t="inlineStr">
        <is>
          <t>I17_COV_UNITS</t>
        </is>
      </c>
      <c r="G25" s="9" t="inlineStr">
        <is>
          <t>Y</t>
        </is>
      </c>
      <c r="H25" s="9" t="inlineStr">
        <is>
          <t>IFRS 17 note</t>
        </is>
      </c>
      <c r="I25" s="9" t="inlineStr"/>
    </row>
    <row r="26">
      <c r="A26" t="inlineStr">
        <is>
          <t>Operasional</t>
        </is>
      </c>
      <c r="B26" t="inlineStr">
        <is>
          <t>New business APE / new premiums</t>
        </is>
      </c>
      <c r="C26" s="8" t="inlineStr"/>
      <c r="D26" s="8" t="inlineStr"/>
      <c r="E26" s="8" t="inlineStr"/>
      <c r="F26" s="4" t="inlineStr">
        <is>
          <t>I17_NEWBUS</t>
        </is>
      </c>
      <c r="G26" s="9" t="inlineStr">
        <is>
          <t>Y</t>
        </is>
      </c>
      <c r="H26" s="9" t="inlineStr">
        <is>
          <t>IFRS 17 note</t>
        </is>
      </c>
      <c r="I26" s="9" t="inlineStr"/>
    </row>
    <row r="27">
      <c r="A27" t="inlineStr">
        <is>
          <t>Operasional</t>
        </is>
      </c>
      <c r="B27" t="inlineStr">
        <is>
          <t>Claim ratio (if disclosed)</t>
        </is>
      </c>
      <c r="C27" s="8" t="inlineStr"/>
      <c r="D27" s="8" t="inlineStr"/>
      <c r="E27" s="8" t="inlineStr"/>
      <c r="F27" s="4" t="inlineStr">
        <is>
          <t>I17_CLAIM_RATIO</t>
        </is>
      </c>
      <c r="G27" s="9" t="inlineStr">
        <is>
          <t>Y</t>
        </is>
      </c>
      <c r="H27" s="9" t="inlineStr">
        <is>
          <t>IFRS 17 note</t>
        </is>
      </c>
      <c r="I27" s="9" t="inlineStr"/>
    </row>
    <row r="28">
      <c r="A28" t="inlineStr">
        <is>
          <t>Operasional</t>
        </is>
      </c>
      <c r="B28" t="inlineStr">
        <is>
          <t>Reinsurance cession ratio (if disclosed)</t>
        </is>
      </c>
      <c r="C28" s="8" t="inlineStr"/>
      <c r="D28" s="8" t="inlineStr"/>
      <c r="E28" s="8" t="inlineStr"/>
      <c r="F28" s="4" t="inlineStr">
        <is>
          <t>I17_CESSION</t>
        </is>
      </c>
      <c r="G28" s="9" t="inlineStr">
        <is>
          <t>Y</t>
        </is>
      </c>
      <c r="H28" s="9" t="inlineStr">
        <is>
          <t>IFRS 17 note</t>
        </is>
      </c>
      <c r="I28" s="9" t="inlineStr"/>
    </row>
    <row r="29">
      <c r="A29" t="inlineStr">
        <is>
          <t>Operasional</t>
        </is>
      </c>
      <c r="B29" t="inlineStr">
        <is>
          <t>Discount rate / locked-in rate (avg)</t>
        </is>
      </c>
      <c r="C29" s="8" t="inlineStr"/>
      <c r="D29" s="8" t="inlineStr"/>
      <c r="E29" s="8" t="inlineStr"/>
      <c r="F29" s="4" t="inlineStr">
        <is>
          <t>I17_DISC_RATE</t>
        </is>
      </c>
      <c r="G29" s="9" t="inlineStr">
        <is>
          <t>Y</t>
        </is>
      </c>
      <c r="H29" s="9" t="inlineStr">
        <is>
          <t>IFRS 17 note</t>
        </is>
      </c>
      <c r="I29" s="9" t="inlineStr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42" customWidth="1" min="9" max="9"/>
  </cols>
  <sheetData>
    <row r="1" ht="24" customHeight="1">
      <c r="A1" s="1" t="inlineStr">
        <is>
          <t>RAW INPUT – IFRS 9 / PSAK 109</t>
        </is>
      </c>
    </row>
    <row r="2">
      <c r="A2" s="3" t="inlineStr">
        <is>
          <t>Kelompok</t>
        </is>
      </c>
      <c r="B2" s="3" t="inlineStr">
        <is>
          <t>Raw audited line item</t>
        </is>
      </c>
      <c r="C2" s="3" t="inlineStr">
        <is>
          <t>CY</t>
        </is>
      </c>
      <c r="D2" s="3" t="inlineStr">
        <is>
          <t>PY</t>
        </is>
      </c>
      <c r="E2" s="3" t="inlineStr">
        <is>
          <t>PPY</t>
        </is>
      </c>
      <c r="F2" s="3" t="inlineStr">
        <is>
          <t>Mapping code</t>
        </is>
      </c>
      <c r="G2" s="3" t="inlineStr">
        <is>
          <t>Include in summary (Y/N)</t>
        </is>
      </c>
      <c r="H2" s="3" t="inlineStr">
        <is>
          <t>Source / page</t>
        </is>
      </c>
      <c r="I2" s="3" t="inlineStr">
        <is>
          <t>Notes</t>
        </is>
      </c>
    </row>
    <row r="3">
      <c r="A3" t="inlineStr">
        <is>
          <t>Aset keuangan</t>
        </is>
      </c>
      <c r="B3" t="inlineStr">
        <is>
          <t>FVTPL carrying amount</t>
        </is>
      </c>
      <c r="C3" s="8" t="inlineStr"/>
      <c r="D3" s="8" t="inlineStr"/>
      <c r="E3" s="8" t="inlineStr"/>
      <c r="F3" s="4" t="inlineStr">
        <is>
          <t>I9_FVTPL</t>
        </is>
      </c>
      <c r="G3" s="9" t="inlineStr">
        <is>
          <t>Y</t>
        </is>
      </c>
      <c r="H3" s="9" t="inlineStr">
        <is>
          <t>IFRS 9 note</t>
        </is>
      </c>
      <c r="I3" s="9" t="inlineStr"/>
    </row>
    <row r="4">
      <c r="A4" t="inlineStr">
        <is>
          <t>Aset keuangan</t>
        </is>
      </c>
      <c r="B4" t="inlineStr">
        <is>
          <t>FVOCI debt instruments carrying amount</t>
        </is>
      </c>
      <c r="C4" s="8" t="inlineStr"/>
      <c r="D4" s="8" t="inlineStr"/>
      <c r="E4" s="8" t="inlineStr"/>
      <c r="F4" s="4" t="inlineStr">
        <is>
          <t>I9_FVOCI_DEBT</t>
        </is>
      </c>
      <c r="G4" s="9" t="inlineStr">
        <is>
          <t>Y</t>
        </is>
      </c>
      <c r="H4" s="9" t="inlineStr">
        <is>
          <t>IFRS 9 note</t>
        </is>
      </c>
      <c r="I4" s="9" t="inlineStr"/>
    </row>
    <row r="5">
      <c r="A5" t="inlineStr">
        <is>
          <t>Aset keuangan</t>
        </is>
      </c>
      <c r="B5" t="inlineStr">
        <is>
          <t>FVOCI equity instruments carrying amount</t>
        </is>
      </c>
      <c r="C5" s="8" t="inlineStr"/>
      <c r="D5" s="8" t="inlineStr"/>
      <c r="E5" s="8" t="inlineStr"/>
      <c r="F5" s="4" t="inlineStr">
        <is>
          <t>I9_FVOCI_EQ</t>
        </is>
      </c>
      <c r="G5" s="9" t="inlineStr">
        <is>
          <t>Y</t>
        </is>
      </c>
      <c r="H5" s="9" t="inlineStr">
        <is>
          <t>IFRS 9 note</t>
        </is>
      </c>
      <c r="I5" s="9" t="inlineStr"/>
    </row>
    <row r="6">
      <c r="A6" t="inlineStr">
        <is>
          <t>Aset keuangan</t>
        </is>
      </c>
      <c r="B6" t="inlineStr">
        <is>
          <t>Amortised cost debt instruments carrying amount</t>
        </is>
      </c>
      <c r="C6" s="8" t="inlineStr"/>
      <c r="D6" s="8" t="inlineStr"/>
      <c r="E6" s="8" t="inlineStr"/>
      <c r="F6" s="4" t="inlineStr">
        <is>
          <t>I9_AC_DEBT</t>
        </is>
      </c>
      <c r="G6" s="9" t="inlineStr">
        <is>
          <t>Y</t>
        </is>
      </c>
      <c r="H6" s="9" t="inlineStr">
        <is>
          <t>IFRS 9 note</t>
        </is>
      </c>
      <c r="I6" s="9" t="inlineStr"/>
    </row>
    <row r="7">
      <c r="A7" t="inlineStr">
        <is>
          <t>Aset keuangan</t>
        </is>
      </c>
      <c r="B7" t="inlineStr">
        <is>
          <t>Loans and receivables carrying amount</t>
        </is>
      </c>
      <c r="C7" s="8" t="inlineStr"/>
      <c r="D7" s="8" t="inlineStr"/>
      <c r="E7" s="8" t="inlineStr"/>
      <c r="F7" s="4" t="inlineStr">
        <is>
          <t>I9_LOANS</t>
        </is>
      </c>
      <c r="G7" s="9" t="inlineStr">
        <is>
          <t>Y</t>
        </is>
      </c>
      <c r="H7" s="9" t="inlineStr">
        <is>
          <t>IFRS 9 note</t>
        </is>
      </c>
      <c r="I7" s="9" t="inlineStr"/>
    </row>
    <row r="8">
      <c r="A8" t="inlineStr">
        <is>
          <t>ECL</t>
        </is>
      </c>
      <c r="B8" t="inlineStr">
        <is>
          <t>Stage 1 gross exposure</t>
        </is>
      </c>
      <c r="C8" s="8" t="inlineStr"/>
      <c r="D8" s="8" t="inlineStr"/>
      <c r="E8" s="8" t="inlineStr"/>
      <c r="F8" s="4" t="inlineStr">
        <is>
          <t>I9_STAGE1_EXP</t>
        </is>
      </c>
      <c r="G8" s="9" t="inlineStr">
        <is>
          <t>Y</t>
        </is>
      </c>
      <c r="H8" s="9" t="inlineStr">
        <is>
          <t>IFRS 9 note</t>
        </is>
      </c>
      <c r="I8" s="9" t="inlineStr"/>
    </row>
    <row r="9">
      <c r="A9" t="inlineStr">
        <is>
          <t>ECL</t>
        </is>
      </c>
      <c r="B9" t="inlineStr">
        <is>
          <t>Stage 2 gross exposure</t>
        </is>
      </c>
      <c r="C9" s="8" t="inlineStr"/>
      <c r="D9" s="8" t="inlineStr"/>
      <c r="E9" s="8" t="inlineStr"/>
      <c r="F9" s="4" t="inlineStr">
        <is>
          <t>I9_STAGE2_EXP</t>
        </is>
      </c>
      <c r="G9" s="9" t="inlineStr">
        <is>
          <t>Y</t>
        </is>
      </c>
      <c r="H9" s="9" t="inlineStr">
        <is>
          <t>IFRS 9 note</t>
        </is>
      </c>
      <c r="I9" s="9" t="inlineStr"/>
    </row>
    <row r="10">
      <c r="A10" t="inlineStr">
        <is>
          <t>ECL</t>
        </is>
      </c>
      <c r="B10" t="inlineStr">
        <is>
          <t>Stage 3 gross exposure</t>
        </is>
      </c>
      <c r="C10" s="8" t="inlineStr"/>
      <c r="D10" s="8" t="inlineStr"/>
      <c r="E10" s="8" t="inlineStr"/>
      <c r="F10" s="4" t="inlineStr">
        <is>
          <t>I9_STAGE3_EXP</t>
        </is>
      </c>
      <c r="G10" s="9" t="inlineStr">
        <is>
          <t>Y</t>
        </is>
      </c>
      <c r="H10" s="9" t="inlineStr">
        <is>
          <t>IFRS 9 note</t>
        </is>
      </c>
      <c r="I10" s="9" t="inlineStr"/>
    </row>
    <row r="11">
      <c r="A11" t="inlineStr">
        <is>
          <t>ECL</t>
        </is>
      </c>
      <c r="B11" t="inlineStr">
        <is>
          <t>Stage 1 allowance</t>
        </is>
      </c>
      <c r="C11" s="8" t="inlineStr"/>
      <c r="D11" s="8" t="inlineStr"/>
      <c r="E11" s="8" t="inlineStr"/>
      <c r="F11" s="4" t="inlineStr">
        <is>
          <t>I9_STAGE1_ALL</t>
        </is>
      </c>
      <c r="G11" s="9" t="inlineStr">
        <is>
          <t>Y</t>
        </is>
      </c>
      <c r="H11" s="9" t="inlineStr">
        <is>
          <t>IFRS 9 note</t>
        </is>
      </c>
      <c r="I11" s="9" t="inlineStr"/>
    </row>
    <row r="12">
      <c r="A12" t="inlineStr">
        <is>
          <t>ECL</t>
        </is>
      </c>
      <c r="B12" t="inlineStr">
        <is>
          <t>Stage 2 allowance</t>
        </is>
      </c>
      <c r="C12" s="8" t="inlineStr"/>
      <c r="D12" s="8" t="inlineStr"/>
      <c r="E12" s="8" t="inlineStr"/>
      <c r="F12" s="4" t="inlineStr">
        <is>
          <t>I9_STAGE2_ALL</t>
        </is>
      </c>
      <c r="G12" s="9" t="inlineStr">
        <is>
          <t>Y</t>
        </is>
      </c>
      <c r="H12" s="9" t="inlineStr">
        <is>
          <t>IFRS 9 note</t>
        </is>
      </c>
      <c r="I12" s="9" t="inlineStr"/>
    </row>
    <row r="13">
      <c r="A13" t="inlineStr">
        <is>
          <t>ECL</t>
        </is>
      </c>
      <c r="B13" t="inlineStr">
        <is>
          <t>Stage 3 allowance</t>
        </is>
      </c>
      <c r="C13" s="8" t="inlineStr"/>
      <c r="D13" s="8" t="inlineStr"/>
      <c r="E13" s="8" t="inlineStr"/>
      <c r="F13" s="4" t="inlineStr">
        <is>
          <t>I9_STAGE3_ALL</t>
        </is>
      </c>
      <c r="G13" s="9" t="inlineStr">
        <is>
          <t>Y</t>
        </is>
      </c>
      <c r="H13" s="9" t="inlineStr">
        <is>
          <t>IFRS 9 note</t>
        </is>
      </c>
      <c r="I13" s="9" t="inlineStr"/>
    </row>
    <row r="14">
      <c r="A14" t="inlineStr">
        <is>
          <t>Kualitas aset</t>
        </is>
      </c>
      <c r="B14" t="inlineStr">
        <is>
          <t>Low credit risk exposure</t>
        </is>
      </c>
      <c r="C14" s="8" t="inlineStr"/>
      <c r="D14" s="8" t="inlineStr"/>
      <c r="E14" s="8" t="inlineStr"/>
      <c r="F14" s="4" t="inlineStr">
        <is>
          <t>I9_LOWRISK</t>
        </is>
      </c>
      <c r="G14" s="9" t="inlineStr">
        <is>
          <t>Y</t>
        </is>
      </c>
      <c r="H14" s="9" t="inlineStr">
        <is>
          <t>IFRS 9 note</t>
        </is>
      </c>
      <c r="I14" s="9" t="inlineStr"/>
    </row>
    <row r="15">
      <c r="A15" t="inlineStr">
        <is>
          <t>Kualitas aset</t>
        </is>
      </c>
      <c r="B15" t="inlineStr">
        <is>
          <t>Credit-impaired exposure</t>
        </is>
      </c>
      <c r="C15" s="8" t="inlineStr"/>
      <c r="D15" s="8" t="inlineStr"/>
      <c r="E15" s="8" t="inlineStr"/>
      <c r="F15" s="4" t="inlineStr">
        <is>
          <t>I9_CREDIT_IMP</t>
        </is>
      </c>
      <c r="G15" s="9" t="inlineStr">
        <is>
          <t>Y</t>
        </is>
      </c>
      <c r="H15" s="9" t="inlineStr">
        <is>
          <t>IFRS 9 note</t>
        </is>
      </c>
      <c r="I15" s="9" t="inlineStr"/>
    </row>
    <row r="16">
      <c r="A16" t="inlineStr">
        <is>
          <t>Kualitas aset</t>
        </is>
      </c>
      <c r="B16" t="inlineStr">
        <is>
          <t>Write-offs during year</t>
        </is>
      </c>
      <c r="C16" s="8" t="inlineStr"/>
      <c r="D16" s="8" t="inlineStr"/>
      <c r="E16" s="8" t="inlineStr"/>
      <c r="F16" s="4" t="inlineStr">
        <is>
          <t>I9_WRITEOFF</t>
        </is>
      </c>
      <c r="G16" s="9" t="inlineStr">
        <is>
          <t>Y</t>
        </is>
      </c>
      <c r="H16" s="9" t="inlineStr">
        <is>
          <t>IFRS 9 note</t>
        </is>
      </c>
      <c r="I16" s="9" t="inlineStr"/>
    </row>
    <row r="17">
      <c r="A17" t="inlineStr">
        <is>
          <t>Kualitas aset</t>
        </is>
      </c>
      <c r="B17" t="inlineStr">
        <is>
          <t>Recovery of written-off assets</t>
        </is>
      </c>
      <c r="C17" s="8" t="inlineStr"/>
      <c r="D17" s="8" t="inlineStr"/>
      <c r="E17" s="8" t="inlineStr"/>
      <c r="F17" s="4" t="inlineStr">
        <is>
          <t>I9_RECOVERY</t>
        </is>
      </c>
      <c r="G17" s="9" t="inlineStr">
        <is>
          <t>Y</t>
        </is>
      </c>
      <c r="H17" s="9" t="inlineStr">
        <is>
          <t>IFRS 9 note</t>
        </is>
      </c>
      <c r="I17" s="9" t="inlineStr"/>
    </row>
    <row r="18">
      <c r="A18" t="inlineStr">
        <is>
          <t>OCI</t>
        </is>
      </c>
      <c r="B18" t="inlineStr">
        <is>
          <t>FVOCI reserve closing</t>
        </is>
      </c>
      <c r="C18" s="8" t="inlineStr"/>
      <c r="D18" s="8" t="inlineStr"/>
      <c r="E18" s="8" t="inlineStr"/>
      <c r="F18" s="4" t="inlineStr">
        <is>
          <t>I9_FVOCI_RES</t>
        </is>
      </c>
      <c r="G18" s="9" t="inlineStr">
        <is>
          <t>Y</t>
        </is>
      </c>
      <c r="H18" s="9" t="inlineStr">
        <is>
          <t>IFRS 9 note</t>
        </is>
      </c>
      <c r="I18" s="9" t="inlineStr"/>
    </row>
    <row r="19">
      <c r="A19" t="inlineStr">
        <is>
          <t>P/L</t>
        </is>
      </c>
      <c r="B19" t="inlineStr">
        <is>
          <t>Fair value gain/(loss) on FVTPL recognised in P/L</t>
        </is>
      </c>
      <c r="C19" s="8" t="inlineStr"/>
      <c r="D19" s="8" t="inlineStr"/>
      <c r="E19" s="8" t="inlineStr"/>
      <c r="F19" s="4" t="inlineStr">
        <is>
          <t>I9_FVTPL_PL</t>
        </is>
      </c>
      <c r="G19" s="9" t="inlineStr">
        <is>
          <t>Y</t>
        </is>
      </c>
      <c r="H19" s="9" t="inlineStr">
        <is>
          <t>IFRS 9 note</t>
        </is>
      </c>
      <c r="I19" s="9" t="inlineStr"/>
    </row>
    <row r="20">
      <c r="A20" t="inlineStr">
        <is>
          <t>P/L</t>
        </is>
      </c>
      <c r="B20" t="inlineStr">
        <is>
          <t>Investment income on financial assets</t>
        </is>
      </c>
      <c r="C20" s="8" t="inlineStr"/>
      <c r="D20" s="8" t="inlineStr"/>
      <c r="E20" s="8" t="inlineStr"/>
      <c r="F20" s="4" t="inlineStr">
        <is>
          <t>I9_INV_INC</t>
        </is>
      </c>
      <c r="G20" s="9" t="inlineStr">
        <is>
          <t>Y</t>
        </is>
      </c>
      <c r="H20" s="9" t="inlineStr">
        <is>
          <t>IFRS 9 note</t>
        </is>
      </c>
      <c r="I20" s="9" t="inlineStr"/>
    </row>
    <row r="21">
      <c r="A21" t="inlineStr">
        <is>
          <t>P/L</t>
        </is>
      </c>
      <c r="B21" t="inlineStr">
        <is>
          <t>Average investment assets</t>
        </is>
      </c>
      <c r="C21" s="8" t="inlineStr"/>
      <c r="D21" s="8" t="inlineStr"/>
      <c r="E21" s="8" t="inlineStr"/>
      <c r="F21" s="4" t="inlineStr">
        <is>
          <t>I9_AVG_INV</t>
        </is>
      </c>
      <c r="G21" s="9" t="inlineStr">
        <is>
          <t>Y</t>
        </is>
      </c>
      <c r="H21" s="9" t="inlineStr">
        <is>
          <t>IFRS 9 note</t>
        </is>
      </c>
      <c r="I21" s="9" t="inlineStr"/>
    </row>
    <row r="22">
      <c r="A22" t="inlineStr">
        <is>
          <t>Sensitivitas</t>
        </is>
      </c>
      <c r="B22" t="inlineStr">
        <is>
          <t>Interest rate duration / sensitivity (years)</t>
        </is>
      </c>
      <c r="C22" s="8" t="inlineStr"/>
      <c r="D22" s="8" t="inlineStr"/>
      <c r="E22" s="8" t="inlineStr"/>
      <c r="F22" s="4" t="inlineStr">
        <is>
          <t>I9_DURATION</t>
        </is>
      </c>
      <c r="G22" s="9" t="inlineStr">
        <is>
          <t>Y</t>
        </is>
      </c>
      <c r="H22" s="9" t="inlineStr">
        <is>
          <t>IFRS 9 note</t>
        </is>
      </c>
      <c r="I22" s="9" t="inlineStr"/>
    </row>
  </sheetData>
  <mergeCells count="1">
    <mergeCell ref="A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  <col hidden="1" width="14" customWidth="1" min="9" max="9"/>
  </cols>
  <sheetData>
    <row r="1" ht="24" customHeight="1">
      <c r="A1" s="10" t="inlineStr">
        <is>
          <t>INPUT STATEMENT OF FINANCIAL POSITION / LAPORAN POSISI KEUANGAN</t>
        </is>
      </c>
    </row>
    <row r="2">
      <c r="A2" s="12" t="inlineStr">
        <is>
          <t>Kelompok</t>
        </is>
      </c>
      <c r="B2" s="12" t="inlineStr">
        <is>
          <t>Akun standar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Growth vs PY</t>
        </is>
      </c>
      <c r="G2" s="12" t="inlineStr">
        <is>
          <t>Ratio / note</t>
        </is>
      </c>
      <c r="H2" s="12" t="inlineStr">
        <is>
          <t>Status</t>
        </is>
      </c>
      <c r="I2" s="12" t="inlineStr">
        <is>
          <t>Mapping code</t>
        </is>
      </c>
    </row>
    <row r="3">
      <c r="A3" s="13" t="inlineStr">
        <is>
          <t>ASET</t>
        </is>
      </c>
      <c r="B3" s="13" t="inlineStr">
        <is>
          <t>Kas dan setara kas</t>
        </is>
      </c>
      <c r="C3" s="14">
        <f>IFERROR(SUMIFS(Raw_SFP!$C:$C,Raw_SFP!$F:$F,$I3,Raw_SFP!$G:$G,"Y"),0)</f>
        <v/>
      </c>
      <c r="D3" s="14">
        <f>IFERROR(SUMIFS(Raw_SFP!$D:$D,Raw_SFP!$F:$F,$I3,Raw_SFP!$G:$G,"Y"),0)</f>
        <v/>
      </c>
      <c r="E3" s="14">
        <f>IFERROR(SUMIFS(Raw_SFP!$E:$E,Raw_SFP!$F:$F,$I3,Raw_SFP!$G:$G,"Y"),0)</f>
        <v/>
      </c>
      <c r="F3" s="15">
        <f>IFERROR((C3/D3)-1,"")</f>
        <v/>
      </c>
      <c r="G3" s="11" t="n"/>
      <c r="H3" s="11">
        <f>IF(OR(C3=0,C3=""),"Review / optional","OK")</f>
        <v/>
      </c>
      <c r="I3" s="11" t="inlineStr">
        <is>
          <t>SFP_CASH</t>
        </is>
      </c>
    </row>
    <row r="4">
      <c r="A4" s="13" t="inlineStr">
        <is>
          <t>ASET</t>
        </is>
      </c>
      <c r="B4" s="13" t="inlineStr">
        <is>
          <t>Penempatan jangka pendek / pasar uang</t>
        </is>
      </c>
      <c r="C4" s="14">
        <f>IFERROR(SUMIFS(Raw_SFP!$C:$C,Raw_SFP!$F:$F,$I4,Raw_SFP!$G:$G,"Y"),0)</f>
        <v/>
      </c>
      <c r="D4" s="14">
        <f>IFERROR(SUMIFS(Raw_SFP!$D:$D,Raw_SFP!$F:$F,$I4,Raw_SFP!$G:$G,"Y"),0)</f>
        <v/>
      </c>
      <c r="E4" s="14">
        <f>IFERROR(SUMIFS(Raw_SFP!$E:$E,Raw_SFP!$F:$F,$I4,Raw_SFP!$G:$G,"Y"),0)</f>
        <v/>
      </c>
      <c r="F4" s="15">
        <f>IFERROR((C4/D4)-1,"")</f>
        <v/>
      </c>
      <c r="G4" s="11" t="n"/>
      <c r="H4" s="11">
        <f>IF(OR(C4=0,C4=""),"Review / optional","OK")</f>
        <v/>
      </c>
      <c r="I4" s="11" t="inlineStr">
        <is>
          <t>SFP_MM</t>
        </is>
      </c>
    </row>
    <row r="5">
      <c r="A5" s="13" t="inlineStr">
        <is>
          <t>ASET</t>
        </is>
      </c>
      <c r="B5" s="13" t="inlineStr">
        <is>
          <t>Investasi pada FVTPL</t>
        </is>
      </c>
      <c r="C5" s="14">
        <f>IFERROR(SUMIFS(Raw_SFP!$C:$C,Raw_SFP!$F:$F,$I5,Raw_SFP!$G:$G,"Y"),0)</f>
        <v/>
      </c>
      <c r="D5" s="14">
        <f>IFERROR(SUMIFS(Raw_SFP!$D:$D,Raw_SFP!$F:$F,$I5,Raw_SFP!$G:$G,"Y"),0)</f>
        <v/>
      </c>
      <c r="E5" s="14">
        <f>IFERROR(SUMIFS(Raw_SFP!$E:$E,Raw_SFP!$F:$F,$I5,Raw_SFP!$G:$G,"Y"),0)</f>
        <v/>
      </c>
      <c r="F5" s="15">
        <f>IFERROR((C5/D5)-1,"")</f>
        <v/>
      </c>
      <c r="G5" s="11" t="n"/>
      <c r="H5" s="11">
        <f>IF(OR(C5=0,C5=""),"Review / optional","OK")</f>
        <v/>
      </c>
      <c r="I5" s="11" t="inlineStr">
        <is>
          <t>SFP_FVTPL</t>
        </is>
      </c>
    </row>
    <row r="6">
      <c r="A6" s="13" t="inlineStr">
        <is>
          <t>ASET</t>
        </is>
      </c>
      <c r="B6" s="13" t="inlineStr">
        <is>
          <t>Investasi utang pada FVOCI</t>
        </is>
      </c>
      <c r="C6" s="14">
        <f>IFERROR(SUMIFS(Raw_SFP!$C:$C,Raw_SFP!$F:$F,$I6,Raw_SFP!$G:$G,"Y"),0)</f>
        <v/>
      </c>
      <c r="D6" s="14">
        <f>IFERROR(SUMIFS(Raw_SFP!$D:$D,Raw_SFP!$F:$F,$I6,Raw_SFP!$G:$G,"Y"),0)</f>
        <v/>
      </c>
      <c r="E6" s="14">
        <f>IFERROR(SUMIFS(Raw_SFP!$E:$E,Raw_SFP!$F:$F,$I6,Raw_SFP!$G:$G,"Y"),0)</f>
        <v/>
      </c>
      <c r="F6" s="15">
        <f>IFERROR((C6/D6)-1,"")</f>
        <v/>
      </c>
      <c r="G6" s="11" t="n"/>
      <c r="H6" s="11">
        <f>IF(OR(C6=0,C6=""),"Review / optional","OK")</f>
        <v/>
      </c>
      <c r="I6" s="11" t="inlineStr">
        <is>
          <t>SFP_FVOCI_DEBT</t>
        </is>
      </c>
    </row>
    <row r="7">
      <c r="A7" s="13" t="inlineStr">
        <is>
          <t>ASET</t>
        </is>
      </c>
      <c r="B7" s="13" t="inlineStr">
        <is>
          <t>Investasi ekuitas pada FVOCI</t>
        </is>
      </c>
      <c r="C7" s="14">
        <f>IFERROR(SUMIFS(Raw_SFP!$C:$C,Raw_SFP!$F:$F,$I7,Raw_SFP!$G:$G,"Y"),0)</f>
        <v/>
      </c>
      <c r="D7" s="14">
        <f>IFERROR(SUMIFS(Raw_SFP!$D:$D,Raw_SFP!$F:$F,$I7,Raw_SFP!$G:$G,"Y"),0)</f>
        <v/>
      </c>
      <c r="E7" s="14">
        <f>IFERROR(SUMIFS(Raw_SFP!$E:$E,Raw_SFP!$F:$F,$I7,Raw_SFP!$G:$G,"Y"),0)</f>
        <v/>
      </c>
      <c r="F7" s="15">
        <f>IFERROR((C7/D7)-1,"")</f>
        <v/>
      </c>
      <c r="G7" s="11" t="n"/>
      <c r="H7" s="11">
        <f>IF(OR(C7=0,C7=""),"Review / optional","OK")</f>
        <v/>
      </c>
      <c r="I7" s="11" t="inlineStr">
        <is>
          <t>SFP_FVOCI_EQ</t>
        </is>
      </c>
    </row>
    <row r="8">
      <c r="A8" s="13" t="inlineStr">
        <is>
          <t>ASET</t>
        </is>
      </c>
      <c r="B8" s="13" t="inlineStr">
        <is>
          <t>Investasi pada biaya perolehan diamortisasi</t>
        </is>
      </c>
      <c r="C8" s="14">
        <f>IFERROR(SUMIFS(Raw_SFP!$C:$C,Raw_SFP!$F:$F,$I8,Raw_SFP!$G:$G,"Y"),0)</f>
        <v/>
      </c>
      <c r="D8" s="14">
        <f>IFERROR(SUMIFS(Raw_SFP!$D:$D,Raw_SFP!$F:$F,$I8,Raw_SFP!$G:$G,"Y"),0)</f>
        <v/>
      </c>
      <c r="E8" s="14">
        <f>IFERROR(SUMIFS(Raw_SFP!$E:$E,Raw_SFP!$F:$F,$I8,Raw_SFP!$G:$G,"Y"),0)</f>
        <v/>
      </c>
      <c r="F8" s="15">
        <f>IFERROR((C8/D8)-1,"")</f>
        <v/>
      </c>
      <c r="G8" s="11" t="n"/>
      <c r="H8" s="11">
        <f>IF(OR(C8=0,C8=""),"Review / optional","OK")</f>
        <v/>
      </c>
      <c r="I8" s="11" t="inlineStr">
        <is>
          <t>SFP_AC</t>
        </is>
      </c>
    </row>
    <row r="9">
      <c r="A9" s="13" t="inlineStr">
        <is>
          <t>ASET</t>
        </is>
      </c>
      <c r="B9" s="13" t="inlineStr">
        <is>
          <t>Properti investasi</t>
        </is>
      </c>
      <c r="C9" s="14">
        <f>IFERROR(SUMIFS(Raw_SFP!$C:$C,Raw_SFP!$F:$F,$I9,Raw_SFP!$G:$G,"Y"),0)</f>
        <v/>
      </c>
      <c r="D9" s="14">
        <f>IFERROR(SUMIFS(Raw_SFP!$D:$D,Raw_SFP!$F:$F,$I9,Raw_SFP!$G:$G,"Y"),0)</f>
        <v/>
      </c>
      <c r="E9" s="14">
        <f>IFERROR(SUMIFS(Raw_SFP!$E:$E,Raw_SFP!$F:$F,$I9,Raw_SFP!$G:$G,"Y"),0)</f>
        <v/>
      </c>
      <c r="F9" s="15">
        <f>IFERROR((C9/D9)-1,"")</f>
        <v/>
      </c>
      <c r="G9" s="11" t="n"/>
      <c r="H9" s="11">
        <f>IF(OR(C9=0,C9=""),"Review / optional","OK")</f>
        <v/>
      </c>
      <c r="I9" s="11" t="inlineStr">
        <is>
          <t>SFP_INVPROP</t>
        </is>
      </c>
    </row>
    <row r="10">
      <c r="A10" s="13" t="inlineStr">
        <is>
          <t>ASET</t>
        </is>
      </c>
      <c r="B10" s="13" t="inlineStr">
        <is>
          <t>Pinjaman polis / piutang pembiayaan / loans</t>
        </is>
      </c>
      <c r="C10" s="14">
        <f>IFERROR(SUMIFS(Raw_SFP!$C:$C,Raw_SFP!$F:$F,$I10,Raw_SFP!$G:$G,"Y"),0)</f>
        <v/>
      </c>
      <c r="D10" s="14">
        <f>IFERROR(SUMIFS(Raw_SFP!$D:$D,Raw_SFP!$F:$F,$I10,Raw_SFP!$G:$G,"Y"),0)</f>
        <v/>
      </c>
      <c r="E10" s="14">
        <f>IFERROR(SUMIFS(Raw_SFP!$E:$E,Raw_SFP!$F:$F,$I10,Raw_SFP!$G:$G,"Y"),0)</f>
        <v/>
      </c>
      <c r="F10" s="15">
        <f>IFERROR((C10/D10)-1,"")</f>
        <v/>
      </c>
      <c r="G10" s="11" t="n"/>
      <c r="H10" s="11">
        <f>IF(OR(C10=0,C10=""),"Review / optional","OK")</f>
        <v/>
      </c>
      <c r="I10" s="11" t="inlineStr">
        <is>
          <t>SFP_LOANS</t>
        </is>
      </c>
    </row>
    <row r="11">
      <c r="A11" s="13" t="inlineStr">
        <is>
          <t>ASET</t>
        </is>
      </c>
      <c r="B11" s="13" t="inlineStr">
        <is>
          <t>Piutang premi dan piutang lain-lain</t>
        </is>
      </c>
      <c r="C11" s="14">
        <f>IFERROR(SUMIFS(Raw_SFP!$C:$C,Raw_SFP!$F:$F,$I11,Raw_SFP!$G:$G,"Y"),0)</f>
        <v/>
      </c>
      <c r="D11" s="14">
        <f>IFERROR(SUMIFS(Raw_SFP!$D:$D,Raw_SFP!$F:$F,$I11,Raw_SFP!$G:$G,"Y"),0)</f>
        <v/>
      </c>
      <c r="E11" s="14">
        <f>IFERROR(SUMIFS(Raw_SFP!$E:$E,Raw_SFP!$F:$F,$I11,Raw_SFP!$G:$G,"Y"),0)</f>
        <v/>
      </c>
      <c r="F11" s="15">
        <f>IFERROR((C11/D11)-1,"")</f>
        <v/>
      </c>
      <c r="G11" s="11" t="n"/>
      <c r="H11" s="11">
        <f>IF(OR(C11=0,C11=""),"Review / optional","OK")</f>
        <v/>
      </c>
      <c r="I11" s="11" t="inlineStr">
        <is>
          <t>SFP_RECEIV</t>
        </is>
      </c>
    </row>
    <row r="12">
      <c r="A12" s="13" t="inlineStr">
        <is>
          <t>ASET</t>
        </is>
      </c>
      <c r="B12" s="13" t="inlineStr">
        <is>
          <t>Aset kontrak reasuransi</t>
        </is>
      </c>
      <c r="C12" s="14">
        <f>IFERROR(SUMIFS(Raw_SFP!$C:$C,Raw_SFP!$F:$F,$I12,Raw_SFP!$G:$G,"Y"),0)</f>
        <v/>
      </c>
      <c r="D12" s="14">
        <f>IFERROR(SUMIFS(Raw_SFP!$D:$D,Raw_SFP!$F:$F,$I12,Raw_SFP!$G:$G,"Y"),0)</f>
        <v/>
      </c>
      <c r="E12" s="14">
        <f>IFERROR(SUMIFS(Raw_SFP!$E:$E,Raw_SFP!$F:$F,$I12,Raw_SFP!$G:$G,"Y"),0)</f>
        <v/>
      </c>
      <c r="F12" s="15">
        <f>IFERROR((C12/D12)-1,"")</f>
        <v/>
      </c>
      <c r="G12" s="11" t="n"/>
      <c r="H12" s="11">
        <f>IF(OR(C12=0,C12=""),"Review / optional","OK")</f>
        <v/>
      </c>
      <c r="I12" s="11" t="inlineStr">
        <is>
          <t>SFP_REINS_ASSET</t>
        </is>
      </c>
    </row>
    <row r="13">
      <c r="A13" s="13" t="inlineStr">
        <is>
          <t>ASET</t>
        </is>
      </c>
      <c r="B13" s="13" t="inlineStr">
        <is>
          <t>Aset akuisisi asuransi / acquisition cash flow asset</t>
        </is>
      </c>
      <c r="C13" s="14">
        <f>IFERROR(SUMIFS(Raw_SFP!$C:$C,Raw_SFP!$F:$F,$I13,Raw_SFP!$G:$G,"Y"),0)</f>
        <v/>
      </c>
      <c r="D13" s="14">
        <f>IFERROR(SUMIFS(Raw_SFP!$D:$D,Raw_SFP!$F:$F,$I13,Raw_SFP!$G:$G,"Y"),0)</f>
        <v/>
      </c>
      <c r="E13" s="14">
        <f>IFERROR(SUMIFS(Raw_SFP!$E:$E,Raw_SFP!$F:$F,$I13,Raw_SFP!$G:$G,"Y"),0)</f>
        <v/>
      </c>
      <c r="F13" s="15">
        <f>IFERROR((C13/D13)-1,"")</f>
        <v/>
      </c>
      <c r="G13" s="11" t="n"/>
      <c r="H13" s="11">
        <f>IF(OR(C13=0,C13=""),"Review / optional","OK")</f>
        <v/>
      </c>
      <c r="I13" s="11" t="inlineStr">
        <is>
          <t>SFP_ACQASSET</t>
        </is>
      </c>
    </row>
    <row r="14">
      <c r="A14" s="13" t="inlineStr">
        <is>
          <t>ASET</t>
        </is>
      </c>
      <c r="B14" s="13" t="inlineStr">
        <is>
          <t>Aset tetap, ROU, dan properti yang digunakan sendiri</t>
        </is>
      </c>
      <c r="C14" s="14">
        <f>IFERROR(SUMIFS(Raw_SFP!$C:$C,Raw_SFP!$F:$F,$I14,Raw_SFP!$G:$G,"Y"),0)</f>
        <v/>
      </c>
      <c r="D14" s="14">
        <f>IFERROR(SUMIFS(Raw_SFP!$D:$D,Raw_SFP!$F:$F,$I14,Raw_SFP!$G:$G,"Y"),0)</f>
        <v/>
      </c>
      <c r="E14" s="14">
        <f>IFERROR(SUMIFS(Raw_SFP!$E:$E,Raw_SFP!$F:$F,$I14,Raw_SFP!$G:$G,"Y"),0)</f>
        <v/>
      </c>
      <c r="F14" s="15">
        <f>IFERROR((C14/D14)-1,"")</f>
        <v/>
      </c>
      <c r="G14" s="11" t="n"/>
      <c r="H14" s="11">
        <f>IF(OR(C14=0,C14=""),"Review / optional","OK")</f>
        <v/>
      </c>
      <c r="I14" s="11" t="inlineStr">
        <is>
          <t>SFP_PPE</t>
        </is>
      </c>
    </row>
    <row r="15">
      <c r="A15" s="13" t="inlineStr">
        <is>
          <t>ASET</t>
        </is>
      </c>
      <c r="B15" s="13" t="inlineStr">
        <is>
          <t>Aset takberwujud</t>
        </is>
      </c>
      <c r="C15" s="14">
        <f>IFERROR(SUMIFS(Raw_SFP!$C:$C,Raw_SFP!$F:$F,$I15,Raw_SFP!$G:$G,"Y"),0)</f>
        <v/>
      </c>
      <c r="D15" s="14">
        <f>IFERROR(SUMIFS(Raw_SFP!$D:$D,Raw_SFP!$F:$F,$I15,Raw_SFP!$G:$G,"Y"),0)</f>
        <v/>
      </c>
      <c r="E15" s="14">
        <f>IFERROR(SUMIFS(Raw_SFP!$E:$E,Raw_SFP!$F:$F,$I15,Raw_SFP!$G:$G,"Y"),0)</f>
        <v/>
      </c>
      <c r="F15" s="15">
        <f>IFERROR((C15/D15)-1,"")</f>
        <v/>
      </c>
      <c r="G15" s="11" t="n"/>
      <c r="H15" s="11">
        <f>IF(OR(C15=0,C15=""),"Review / optional","OK")</f>
        <v/>
      </c>
      <c r="I15" s="11" t="inlineStr">
        <is>
          <t>SFP_INTANG</t>
        </is>
      </c>
    </row>
    <row r="16">
      <c r="A16" s="13" t="inlineStr">
        <is>
          <t>ASET</t>
        </is>
      </c>
      <c r="B16" s="13" t="inlineStr">
        <is>
          <t>Aset pajak kini/deferred tax asset</t>
        </is>
      </c>
      <c r="C16" s="14">
        <f>IFERROR(SUMIFS(Raw_SFP!$C:$C,Raw_SFP!$F:$F,$I16,Raw_SFP!$G:$G,"Y"),0)</f>
        <v/>
      </c>
      <c r="D16" s="14">
        <f>IFERROR(SUMIFS(Raw_SFP!$D:$D,Raw_SFP!$F:$F,$I16,Raw_SFP!$G:$G,"Y"),0)</f>
        <v/>
      </c>
      <c r="E16" s="14">
        <f>IFERROR(SUMIFS(Raw_SFP!$E:$E,Raw_SFP!$F:$F,$I16,Raw_SFP!$G:$G,"Y"),0)</f>
        <v/>
      </c>
      <c r="F16" s="15">
        <f>IFERROR((C16/D16)-1,"")</f>
        <v/>
      </c>
      <c r="G16" s="11" t="n"/>
      <c r="H16" s="11">
        <f>IF(OR(C16=0,C16=""),"Review / optional","OK")</f>
        <v/>
      </c>
      <c r="I16" s="11" t="inlineStr">
        <is>
          <t>SFP_TAX_ASSET</t>
        </is>
      </c>
    </row>
    <row r="17">
      <c r="A17" s="13" t="inlineStr">
        <is>
          <t>ASET</t>
        </is>
      </c>
      <c r="B17" s="13" t="inlineStr">
        <is>
          <t>Aset lain-lain</t>
        </is>
      </c>
      <c r="C17" s="14">
        <f>IFERROR(SUMIFS(Raw_SFP!$C:$C,Raw_SFP!$F:$F,$I17,Raw_SFP!$G:$G,"Y"),0)</f>
        <v/>
      </c>
      <c r="D17" s="14">
        <f>IFERROR(SUMIFS(Raw_SFP!$D:$D,Raw_SFP!$F:$F,$I17,Raw_SFP!$G:$G,"Y"),0)</f>
        <v/>
      </c>
      <c r="E17" s="14">
        <f>IFERROR(SUMIFS(Raw_SFP!$E:$E,Raw_SFP!$F:$F,$I17,Raw_SFP!$G:$G,"Y"),0)</f>
        <v/>
      </c>
      <c r="F17" s="15">
        <f>IFERROR((C17/D17)-1,"")</f>
        <v/>
      </c>
      <c r="G17" s="11" t="n"/>
      <c r="H17" s="11">
        <f>IF(OR(C17=0,C17=""),"Review / optional","OK")</f>
        <v/>
      </c>
      <c r="I17" s="11" t="inlineStr">
        <is>
          <t>SFP_OTHER</t>
        </is>
      </c>
    </row>
    <row r="18">
      <c r="A18" s="16" t="inlineStr">
        <is>
          <t>ASET</t>
        </is>
      </c>
      <c r="B18" s="16" t="inlineStr">
        <is>
          <t>TOTAL ASET</t>
        </is>
      </c>
      <c r="C18" s="17">
        <f>SUM(C3:C17)</f>
        <v/>
      </c>
      <c r="D18" s="17">
        <f>SUM(D3:D17)</f>
        <v/>
      </c>
      <c r="E18" s="17">
        <f>SUM(E3:E17)</f>
        <v/>
      </c>
      <c r="F18" s="18">
        <f>IFERROR((C18/D18)-1,"")</f>
        <v/>
      </c>
      <c r="G18" s="19" t="n"/>
      <c r="H18" s="19" t="inlineStr"/>
      <c r="I18" s="11" t="inlineStr"/>
    </row>
    <row r="19">
      <c r="A19" s="13" t="inlineStr">
        <is>
          <t>LIABILITAS</t>
        </is>
      </c>
      <c r="B19" s="13" t="inlineStr">
        <is>
          <t>Liabilitas kontrak asuransi</t>
        </is>
      </c>
      <c r="C19" s="14">
        <f>IFERROR(SUMIFS(Raw_SFP!$C:$C,Raw_SFP!$F:$F,$I19,Raw_SFP!$G:$G,"Y"),0)</f>
        <v/>
      </c>
      <c r="D19" s="14">
        <f>IFERROR(SUMIFS(Raw_SFP!$D:$D,Raw_SFP!$F:$F,$I19,Raw_SFP!$G:$G,"Y"),0)</f>
        <v/>
      </c>
      <c r="E19" s="14">
        <f>IFERROR(SUMIFS(Raw_SFP!$E:$E,Raw_SFP!$F:$F,$I19,Raw_SFP!$G:$G,"Y"),0)</f>
        <v/>
      </c>
      <c r="F19" s="15">
        <f>IFERROR((C19/D19)-1,"")</f>
        <v/>
      </c>
      <c r="G19" s="11" t="n"/>
      <c r="H19" s="11">
        <f>IF(OR(C19=0,C19=""),"Review / optional","OK")</f>
        <v/>
      </c>
      <c r="I19" s="11" t="inlineStr">
        <is>
          <t>SFP_INS_LIAB</t>
        </is>
      </c>
    </row>
    <row r="20">
      <c r="A20" s="13" t="inlineStr">
        <is>
          <t>LIABILITAS</t>
        </is>
      </c>
      <c r="B20" s="13" t="inlineStr">
        <is>
          <t>Liabilitas kontrak reasuransi</t>
        </is>
      </c>
      <c r="C20" s="14">
        <f>IFERROR(SUMIFS(Raw_SFP!$C:$C,Raw_SFP!$F:$F,$I20,Raw_SFP!$G:$G,"Y"),0)</f>
        <v/>
      </c>
      <c r="D20" s="14">
        <f>IFERROR(SUMIFS(Raw_SFP!$D:$D,Raw_SFP!$F:$F,$I20,Raw_SFP!$G:$G,"Y"),0)</f>
        <v/>
      </c>
      <c r="E20" s="14">
        <f>IFERROR(SUMIFS(Raw_SFP!$E:$E,Raw_SFP!$F:$F,$I20,Raw_SFP!$G:$G,"Y"),0)</f>
        <v/>
      </c>
      <c r="F20" s="15">
        <f>IFERROR((C20/D20)-1,"")</f>
        <v/>
      </c>
      <c r="G20" s="11" t="n"/>
      <c r="H20" s="11">
        <f>IF(OR(C20=0,C20=""),"Review / optional","OK")</f>
        <v/>
      </c>
      <c r="I20" s="11" t="inlineStr">
        <is>
          <t>SFP_REINS_LIAB</t>
        </is>
      </c>
    </row>
    <row r="21">
      <c r="A21" s="13" t="inlineStr">
        <is>
          <t>LIABILITAS</t>
        </is>
      </c>
      <c r="B21" s="13" t="inlineStr">
        <is>
          <t>Liabilitas kontrak investasi</t>
        </is>
      </c>
      <c r="C21" s="14">
        <f>IFERROR(SUMIFS(Raw_SFP!$C:$C,Raw_SFP!$F:$F,$I21,Raw_SFP!$G:$G,"Y"),0)</f>
        <v/>
      </c>
      <c r="D21" s="14">
        <f>IFERROR(SUMIFS(Raw_SFP!$D:$D,Raw_SFP!$F:$F,$I21,Raw_SFP!$G:$G,"Y"),0)</f>
        <v/>
      </c>
      <c r="E21" s="14">
        <f>IFERROR(SUMIFS(Raw_SFP!$E:$E,Raw_SFP!$F:$F,$I21,Raw_SFP!$G:$G,"Y"),0)</f>
        <v/>
      </c>
      <c r="F21" s="15">
        <f>IFERROR((C21/D21)-1,"")</f>
        <v/>
      </c>
      <c r="G21" s="11" t="n"/>
      <c r="H21" s="11">
        <f>IF(OR(C21=0,C21=""),"Review / optional","OK")</f>
        <v/>
      </c>
      <c r="I21" s="11" t="inlineStr">
        <is>
          <t>SFP_INVEST_LIAB</t>
        </is>
      </c>
    </row>
    <row r="22">
      <c r="A22" s="13" t="inlineStr">
        <is>
          <t>LIABILITAS</t>
        </is>
      </c>
      <c r="B22" s="13" t="inlineStr">
        <is>
          <t>Utang klaim, utang reasuransi, dan utang komisi</t>
        </is>
      </c>
      <c r="C22" s="14">
        <f>IFERROR(SUMIFS(Raw_SFP!$C:$C,Raw_SFP!$F:$F,$I22,Raw_SFP!$G:$G,"Y"),0)</f>
        <v/>
      </c>
      <c r="D22" s="14">
        <f>IFERROR(SUMIFS(Raw_SFP!$D:$D,Raw_SFP!$F:$F,$I22,Raw_SFP!$G:$G,"Y"),0)</f>
        <v/>
      </c>
      <c r="E22" s="14">
        <f>IFERROR(SUMIFS(Raw_SFP!$E:$E,Raw_SFP!$F:$F,$I22,Raw_SFP!$G:$G,"Y"),0)</f>
        <v/>
      </c>
      <c r="F22" s="15">
        <f>IFERROR((C22/D22)-1,"")</f>
        <v/>
      </c>
      <c r="G22" s="11" t="n"/>
      <c r="H22" s="11">
        <f>IF(OR(C22=0,C22=""),"Review / optional","OK")</f>
        <v/>
      </c>
      <c r="I22" s="11" t="inlineStr">
        <is>
          <t>SFP_PAYABLES</t>
        </is>
      </c>
    </row>
    <row r="23">
      <c r="A23" s="13" t="inlineStr">
        <is>
          <t>LIABILITAS</t>
        </is>
      </c>
      <c r="B23" s="13" t="inlineStr">
        <is>
          <t>Utang pajak kini/deferred tax liability</t>
        </is>
      </c>
      <c r="C23" s="14">
        <f>IFERROR(SUMIFS(Raw_SFP!$C:$C,Raw_SFP!$F:$F,$I23,Raw_SFP!$G:$G,"Y"),0)</f>
        <v/>
      </c>
      <c r="D23" s="14">
        <f>IFERROR(SUMIFS(Raw_SFP!$D:$D,Raw_SFP!$F:$F,$I23,Raw_SFP!$G:$G,"Y"),0)</f>
        <v/>
      </c>
      <c r="E23" s="14">
        <f>IFERROR(SUMIFS(Raw_SFP!$E:$E,Raw_SFP!$F:$F,$I23,Raw_SFP!$G:$G,"Y"),0)</f>
        <v/>
      </c>
      <c r="F23" s="15">
        <f>IFERROR((C23/D23)-1,"")</f>
        <v/>
      </c>
      <c r="G23" s="11" t="n"/>
      <c r="H23" s="11">
        <f>IF(OR(C23=0,C23=""),"Review / optional","OK")</f>
        <v/>
      </c>
      <c r="I23" s="11" t="inlineStr">
        <is>
          <t>SFP_TAX_LIAB</t>
        </is>
      </c>
    </row>
    <row r="24">
      <c r="A24" s="13" t="inlineStr">
        <is>
          <t>LIABILITAS</t>
        </is>
      </c>
      <c r="B24" s="13" t="inlineStr">
        <is>
          <t>Liabilitas sewa dan pinjaman</t>
        </is>
      </c>
      <c r="C24" s="14">
        <f>IFERROR(SUMIFS(Raw_SFP!$C:$C,Raw_SFP!$F:$F,$I24,Raw_SFP!$G:$G,"Y"),0)</f>
        <v/>
      </c>
      <c r="D24" s="14">
        <f>IFERROR(SUMIFS(Raw_SFP!$D:$D,Raw_SFP!$F:$F,$I24,Raw_SFP!$G:$G,"Y"),0)</f>
        <v/>
      </c>
      <c r="E24" s="14">
        <f>IFERROR(SUMIFS(Raw_SFP!$E:$E,Raw_SFP!$F:$F,$I24,Raw_SFP!$G:$G,"Y"),0)</f>
        <v/>
      </c>
      <c r="F24" s="15">
        <f>IFERROR((C24/D24)-1,"")</f>
        <v/>
      </c>
      <c r="G24" s="11" t="n"/>
      <c r="H24" s="11">
        <f>IF(OR(C24=0,C24=""),"Review / optional","OK")</f>
        <v/>
      </c>
      <c r="I24" s="11" t="inlineStr">
        <is>
          <t>SFP_LEASE_DEBT</t>
        </is>
      </c>
    </row>
    <row r="25">
      <c r="A25" s="13" t="inlineStr">
        <is>
          <t>LIABILITAS</t>
        </is>
      </c>
      <c r="B25" s="13" t="inlineStr">
        <is>
          <t>Liabilitas lain-lain</t>
        </is>
      </c>
      <c r="C25" s="14">
        <f>IFERROR(SUMIFS(Raw_SFP!$C:$C,Raw_SFP!$F:$F,$I25,Raw_SFP!$G:$G,"Y"),0)</f>
        <v/>
      </c>
      <c r="D25" s="14">
        <f>IFERROR(SUMIFS(Raw_SFP!$D:$D,Raw_SFP!$F:$F,$I25,Raw_SFP!$G:$G,"Y"),0)</f>
        <v/>
      </c>
      <c r="E25" s="14">
        <f>IFERROR(SUMIFS(Raw_SFP!$E:$E,Raw_SFP!$F:$F,$I25,Raw_SFP!$G:$G,"Y"),0)</f>
        <v/>
      </c>
      <c r="F25" s="15">
        <f>IFERROR((C25/D25)-1,"")</f>
        <v/>
      </c>
      <c r="G25" s="11" t="n"/>
      <c r="H25" s="11">
        <f>IF(OR(C25=0,C25=""),"Review / optional","OK")</f>
        <v/>
      </c>
      <c r="I25" s="11" t="inlineStr">
        <is>
          <t>SFP_OTHER_LIAB</t>
        </is>
      </c>
    </row>
    <row r="26">
      <c r="A26" s="16" t="inlineStr">
        <is>
          <t>LIABILITAS</t>
        </is>
      </c>
      <c r="B26" s="16" t="inlineStr">
        <is>
          <t>TOTAL LIABILITAS</t>
        </is>
      </c>
      <c r="C26" s="17">
        <f>SUM(C19:C25)</f>
        <v/>
      </c>
      <c r="D26" s="17">
        <f>SUM(D19:D25)</f>
        <v/>
      </c>
      <c r="E26" s="17">
        <f>SUM(E19:E25)</f>
        <v/>
      </c>
      <c r="F26" s="18">
        <f>IFERROR((C26/D26)-1,"")</f>
        <v/>
      </c>
      <c r="G26" s="19" t="n"/>
      <c r="H26" s="19" t="inlineStr"/>
      <c r="I26" s="11" t="inlineStr"/>
    </row>
    <row r="27">
      <c r="A27" s="13" t="inlineStr">
        <is>
          <t>DANA PESERTA</t>
        </is>
      </c>
      <c r="B27" s="13" t="inlineStr">
        <is>
          <t>Dana peserta / liabilities to policyholders fund</t>
        </is>
      </c>
      <c r="C27" s="14">
        <f>IFERROR(SUMIFS(Raw_SFP!$C:$C,Raw_SFP!$F:$F,$I27,Raw_SFP!$G:$G,"Y"),0)</f>
        <v/>
      </c>
      <c r="D27" s="14">
        <f>IFERROR(SUMIFS(Raw_SFP!$D:$D,Raw_SFP!$F:$F,$I27,Raw_SFP!$G:$G,"Y"),0)</f>
        <v/>
      </c>
      <c r="E27" s="14">
        <f>IFERROR(SUMIFS(Raw_SFP!$E:$E,Raw_SFP!$F:$F,$I27,Raw_SFP!$G:$G,"Y"),0)</f>
        <v/>
      </c>
      <c r="F27" s="15">
        <f>IFERROR((C27/D27)-1,"")</f>
        <v/>
      </c>
      <c r="G27" s="11" t="n"/>
      <c r="H27" s="11">
        <f>IF(OR(C27=0,C27=""),"Review / optional","OK")</f>
        <v/>
      </c>
      <c r="I27" s="11" t="inlineStr">
        <is>
          <t>SFP_FUNDS</t>
        </is>
      </c>
    </row>
    <row r="28">
      <c r="A28" s="13" t="inlineStr">
        <is>
          <t>EKUITAS</t>
        </is>
      </c>
      <c r="B28" s="13" t="inlineStr">
        <is>
          <t>Modal saham</t>
        </is>
      </c>
      <c r="C28" s="14">
        <f>IFERROR(SUMIFS(Raw_SFP!$C:$C,Raw_SFP!$F:$F,$I28,Raw_SFP!$G:$G,"Y"),0)</f>
        <v/>
      </c>
      <c r="D28" s="14">
        <f>IFERROR(SUMIFS(Raw_SFP!$D:$D,Raw_SFP!$F:$F,$I28,Raw_SFP!$G:$G,"Y"),0)</f>
        <v/>
      </c>
      <c r="E28" s="14">
        <f>IFERROR(SUMIFS(Raw_SFP!$E:$E,Raw_SFP!$F:$F,$I28,Raw_SFP!$G:$G,"Y"),0)</f>
        <v/>
      </c>
      <c r="F28" s="15">
        <f>IFERROR((C28/D28)-1,"")</f>
        <v/>
      </c>
      <c r="G28" s="11" t="n"/>
      <c r="H28" s="11">
        <f>IF(OR(C28=0,C28=""),"Review / optional","OK")</f>
        <v/>
      </c>
      <c r="I28" s="11" t="inlineStr">
        <is>
          <t>SFP_SHARECAP</t>
        </is>
      </c>
    </row>
    <row r="29">
      <c r="A29" s="13" t="inlineStr">
        <is>
          <t>EKUITAS</t>
        </is>
      </c>
      <c r="B29" s="13" t="inlineStr">
        <is>
          <t>Tambahan modal disetor</t>
        </is>
      </c>
      <c r="C29" s="14">
        <f>IFERROR(SUMIFS(Raw_SFP!$C:$C,Raw_SFP!$F:$F,$I29,Raw_SFP!$G:$G,"Y"),0)</f>
        <v/>
      </c>
      <c r="D29" s="14">
        <f>IFERROR(SUMIFS(Raw_SFP!$D:$D,Raw_SFP!$F:$F,$I29,Raw_SFP!$G:$G,"Y"),0)</f>
        <v/>
      </c>
      <c r="E29" s="14">
        <f>IFERROR(SUMIFS(Raw_SFP!$E:$E,Raw_SFP!$F:$F,$I29,Raw_SFP!$G:$G,"Y"),0)</f>
        <v/>
      </c>
      <c r="F29" s="15">
        <f>IFERROR((C29/D29)-1,"")</f>
        <v/>
      </c>
      <c r="G29" s="11" t="n"/>
      <c r="H29" s="11">
        <f>IF(OR(C29=0,C29=""),"Review / optional","OK")</f>
        <v/>
      </c>
      <c r="I29" s="11" t="inlineStr">
        <is>
          <t>SFP_APIC</t>
        </is>
      </c>
    </row>
    <row r="30">
      <c r="A30" s="13" t="inlineStr">
        <is>
          <t>EKUITAS</t>
        </is>
      </c>
      <c r="B30" s="13" t="inlineStr">
        <is>
          <t>Saldo laba</t>
        </is>
      </c>
      <c r="C30" s="14">
        <f>IFERROR(SUMIFS(Raw_SFP!$C:$C,Raw_SFP!$F:$F,$I30,Raw_SFP!$G:$G,"Y"),0)</f>
        <v/>
      </c>
      <c r="D30" s="14">
        <f>IFERROR(SUMIFS(Raw_SFP!$D:$D,Raw_SFP!$F:$F,$I30,Raw_SFP!$G:$G,"Y"),0)</f>
        <v/>
      </c>
      <c r="E30" s="14">
        <f>IFERROR(SUMIFS(Raw_SFP!$E:$E,Raw_SFP!$F:$F,$I30,Raw_SFP!$G:$G,"Y"),0)</f>
        <v/>
      </c>
      <c r="F30" s="15">
        <f>IFERROR((C30/D30)-1,"")</f>
        <v/>
      </c>
      <c r="G30" s="11" t="n"/>
      <c r="H30" s="11">
        <f>IF(OR(C30=0,C30=""),"Review / optional","OK")</f>
        <v/>
      </c>
      <c r="I30" s="11" t="inlineStr">
        <is>
          <t>SFP_RETAINED</t>
        </is>
      </c>
    </row>
    <row r="31">
      <c r="A31" s="13" t="inlineStr">
        <is>
          <t>EKUITAS</t>
        </is>
      </c>
      <c r="B31" s="13" t="inlineStr">
        <is>
          <t>Cadangan FVOCI / fair value reserve</t>
        </is>
      </c>
      <c r="C31" s="14">
        <f>IFERROR(SUMIFS(Raw_SFP!$C:$C,Raw_SFP!$F:$F,$I31,Raw_SFP!$G:$G,"Y"),0)</f>
        <v/>
      </c>
      <c r="D31" s="14">
        <f>IFERROR(SUMIFS(Raw_SFP!$D:$D,Raw_SFP!$F:$F,$I31,Raw_SFP!$G:$G,"Y"),0)</f>
        <v/>
      </c>
      <c r="E31" s="14">
        <f>IFERROR(SUMIFS(Raw_SFP!$E:$E,Raw_SFP!$F:$F,$I31,Raw_SFP!$G:$G,"Y"),0)</f>
        <v/>
      </c>
      <c r="F31" s="15">
        <f>IFERROR((C31/D31)-1,"")</f>
        <v/>
      </c>
      <c r="G31" s="11" t="n"/>
      <c r="H31" s="11">
        <f>IF(OR(C31=0,C31=""),"Review / optional","OK")</f>
        <v/>
      </c>
      <c r="I31" s="11" t="inlineStr">
        <is>
          <t>SFP_FVOCI_RES</t>
        </is>
      </c>
    </row>
    <row r="32">
      <c r="A32" s="13" t="inlineStr">
        <is>
          <t>EKUITAS</t>
        </is>
      </c>
      <c r="B32" s="13" t="inlineStr">
        <is>
          <t>Cadangan insurance finance OCI</t>
        </is>
      </c>
      <c r="C32" s="14">
        <f>IFERROR(SUMIFS(Raw_SFP!$C:$C,Raw_SFP!$F:$F,$I32,Raw_SFP!$G:$G,"Y"),0)</f>
        <v/>
      </c>
      <c r="D32" s="14">
        <f>IFERROR(SUMIFS(Raw_SFP!$D:$D,Raw_SFP!$F:$F,$I32,Raw_SFP!$G:$G,"Y"),0)</f>
        <v/>
      </c>
      <c r="E32" s="14">
        <f>IFERROR(SUMIFS(Raw_SFP!$E:$E,Raw_SFP!$F:$F,$I32,Raw_SFP!$G:$G,"Y"),0)</f>
        <v/>
      </c>
      <c r="F32" s="15">
        <f>IFERROR((C32/D32)-1,"")</f>
        <v/>
      </c>
      <c r="G32" s="11" t="n"/>
      <c r="H32" s="11">
        <f>IF(OR(C32=0,C32=""),"Review / optional","OK")</f>
        <v/>
      </c>
      <c r="I32" s="11" t="inlineStr">
        <is>
          <t>SFP_IFOCI_RES</t>
        </is>
      </c>
    </row>
    <row r="33">
      <c r="A33" s="13" t="inlineStr">
        <is>
          <t>EKUITAS</t>
        </is>
      </c>
      <c r="B33" s="13" t="inlineStr">
        <is>
          <t>Cadangan OCI dan cadangan lain-lain</t>
        </is>
      </c>
      <c r="C33" s="14">
        <f>IFERROR(SUMIFS(Raw_SFP!$C:$C,Raw_SFP!$F:$F,$I33,Raw_SFP!$G:$G,"Y"),0)</f>
        <v/>
      </c>
      <c r="D33" s="14">
        <f>IFERROR(SUMIFS(Raw_SFP!$D:$D,Raw_SFP!$F:$F,$I33,Raw_SFP!$G:$G,"Y"),0)</f>
        <v/>
      </c>
      <c r="E33" s="14">
        <f>IFERROR(SUMIFS(Raw_SFP!$E:$E,Raw_SFP!$F:$F,$I33,Raw_SFP!$G:$G,"Y"),0)</f>
        <v/>
      </c>
      <c r="F33" s="15">
        <f>IFERROR((C33/D33)-1,"")</f>
        <v/>
      </c>
      <c r="G33" s="11" t="n"/>
      <c r="H33" s="11">
        <f>IF(OR(C33=0,C33=""),"Review / optional","OK")</f>
        <v/>
      </c>
      <c r="I33" s="11" t="inlineStr">
        <is>
          <t>SFP_OTHER_EQ</t>
        </is>
      </c>
    </row>
    <row r="34">
      <c r="A34" s="16" t="inlineStr">
        <is>
          <t>EKUITAS</t>
        </is>
      </c>
      <c r="B34" s="16" t="inlineStr">
        <is>
          <t>TOTAL EKUITAS</t>
        </is>
      </c>
      <c r="C34" s="17">
        <f>SUM(C28:C33)</f>
        <v/>
      </c>
      <c r="D34" s="17">
        <f>SUM(D28:D33)</f>
        <v/>
      </c>
      <c r="E34" s="17">
        <f>SUM(E28:E33)</f>
        <v/>
      </c>
      <c r="F34" s="18">
        <f>IFERROR((C34/D34)-1,"")</f>
        <v/>
      </c>
      <c r="G34" s="19" t="n"/>
      <c r="H34" s="19" t="inlineStr"/>
      <c r="I34" s="11" t="inlineStr"/>
    </row>
    <row r="35">
      <c r="A35" s="16" t="inlineStr">
        <is>
          <t>KONTROL</t>
        </is>
      </c>
      <c r="B35" s="16" t="inlineStr">
        <is>
          <t>TOTAL LIAB + DANA PESERTA + EKUITAS</t>
        </is>
      </c>
      <c r="C35" s="17">
        <f>C26+C27+C34</f>
        <v/>
      </c>
      <c r="D35" s="17">
        <f>D26+D27+D34</f>
        <v/>
      </c>
      <c r="E35" s="17">
        <f>E26+E27+E34</f>
        <v/>
      </c>
      <c r="F35" s="18">
        <f>IFERROR((C35/D35)-1,"")</f>
        <v/>
      </c>
      <c r="G35" s="19" t="inlineStr">
        <is>
          <t>Balance check</t>
        </is>
      </c>
      <c r="H35" s="19" t="inlineStr"/>
      <c r="I35" s="11" t="inlineStr"/>
    </row>
  </sheetData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  <col hidden="1" width="14" customWidth="1" min="9" max="9"/>
  </cols>
  <sheetData>
    <row r="1" ht="24" customHeight="1">
      <c r="A1" s="10" t="inlineStr">
        <is>
          <t>INPUT PROFIT OR LOSS &amp; OTHER COMPREHENSIVE INCOME</t>
        </is>
      </c>
    </row>
    <row r="2">
      <c r="A2" s="12" t="inlineStr">
        <is>
          <t>Kelompok</t>
        </is>
      </c>
      <c r="B2" s="12" t="inlineStr">
        <is>
          <t>Akun standar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Growth vs PY</t>
        </is>
      </c>
      <c r="G2" s="12" t="inlineStr">
        <is>
          <t>Ratio / note</t>
        </is>
      </c>
      <c r="H2" s="12" t="inlineStr">
        <is>
          <t>Status</t>
        </is>
      </c>
      <c r="I2" s="12" t="inlineStr">
        <is>
          <t>Mapping code</t>
        </is>
      </c>
    </row>
    <row r="3">
      <c r="A3" s="13" t="inlineStr">
        <is>
          <t>HASIL JASA ASURANSI</t>
        </is>
      </c>
      <c r="B3" s="13" t="inlineStr">
        <is>
          <t>Insurance revenue</t>
        </is>
      </c>
      <c r="C3" s="14">
        <f>IFERROR(SUMIFS(Raw_PL_OCI!$C:$C,Raw_PL_OCI!$F:$F,$I3,Raw_PL_OCI!$G:$G,"Y"),0)</f>
        <v/>
      </c>
      <c r="D3" s="14">
        <f>IFERROR(SUMIFS(Raw_PL_OCI!$D:$D,Raw_PL_OCI!$F:$F,$I3,Raw_PL_OCI!$G:$G,"Y"),0)</f>
        <v/>
      </c>
      <c r="E3" s="14">
        <f>IFERROR(SUMIFS(Raw_PL_OCI!$E:$E,Raw_PL_OCI!$F:$F,$I3,Raw_PL_OCI!$G:$G,"Y"),0)</f>
        <v/>
      </c>
      <c r="F3" s="15">
        <f>IFERROR((C3/D3)-1,"")</f>
        <v/>
      </c>
      <c r="G3" s="11" t="n"/>
      <c r="H3" s="11">
        <f>IF(OR(C3=0,C3=""),"Review / optional","OK")</f>
        <v/>
      </c>
      <c r="I3" s="11" t="inlineStr">
        <is>
          <t>PL_INS_REV</t>
        </is>
      </c>
    </row>
    <row r="4">
      <c r="A4" s="13" t="inlineStr">
        <is>
          <t>HASIL JASA ASURANSI</t>
        </is>
      </c>
      <c r="B4" s="13" t="inlineStr">
        <is>
          <t>Insurance service expense</t>
        </is>
      </c>
      <c r="C4" s="14">
        <f>IFERROR(SUMIFS(Raw_PL_OCI!$C:$C,Raw_PL_OCI!$F:$F,$I4,Raw_PL_OCI!$G:$G,"Y"),0)</f>
        <v/>
      </c>
      <c r="D4" s="14">
        <f>IFERROR(SUMIFS(Raw_PL_OCI!$D:$D,Raw_PL_OCI!$F:$F,$I4,Raw_PL_OCI!$G:$G,"Y"),0)</f>
        <v/>
      </c>
      <c r="E4" s="14">
        <f>IFERROR(SUMIFS(Raw_PL_OCI!$E:$E,Raw_PL_OCI!$F:$F,$I4,Raw_PL_OCI!$G:$G,"Y"),0)</f>
        <v/>
      </c>
      <c r="F4" s="15">
        <f>IFERROR((C4/D4)-1,"")</f>
        <v/>
      </c>
      <c r="G4" s="11" t="n"/>
      <c r="H4" s="11">
        <f>IF(OR(C4=0,C4=""),"Review / optional","OK")</f>
        <v/>
      </c>
      <c r="I4" s="11" t="inlineStr">
        <is>
          <t>PL_INS_EXP</t>
        </is>
      </c>
    </row>
    <row r="5">
      <c r="A5" s="13" t="inlineStr">
        <is>
          <t>HASIL JASA ASURANSI</t>
        </is>
      </c>
      <c r="B5" s="13" t="inlineStr">
        <is>
          <t>Net expense/(income) from reinsurance contracts held</t>
        </is>
      </c>
      <c r="C5" s="14">
        <f>IFERROR(SUMIFS(Raw_PL_OCI!$C:$C,Raw_PL_OCI!$F:$F,$I5,Raw_PL_OCI!$G:$G,"Y"),0)</f>
        <v/>
      </c>
      <c r="D5" s="14">
        <f>IFERROR(SUMIFS(Raw_PL_OCI!$D:$D,Raw_PL_OCI!$F:$F,$I5,Raw_PL_OCI!$G:$G,"Y"),0)</f>
        <v/>
      </c>
      <c r="E5" s="14">
        <f>IFERROR(SUMIFS(Raw_PL_OCI!$E:$E,Raw_PL_OCI!$F:$F,$I5,Raw_PL_OCI!$G:$G,"Y"),0)</f>
        <v/>
      </c>
      <c r="F5" s="15">
        <f>IFERROR((C5/D5)-1,"")</f>
        <v/>
      </c>
      <c r="G5" s="11" t="n"/>
      <c r="H5" s="11">
        <f>IF(OR(C5=0,C5=""),"Review / optional","OK")</f>
        <v/>
      </c>
      <c r="I5" s="11" t="inlineStr">
        <is>
          <t>PL_REINS_NET</t>
        </is>
      </c>
    </row>
    <row r="6">
      <c r="A6" s="16" t="inlineStr">
        <is>
          <t>HASIL JASA ASURANSI</t>
        </is>
      </c>
      <c r="B6" s="16" t="inlineStr">
        <is>
          <t>INSURANCE SERVICE RESULT</t>
        </is>
      </c>
      <c r="C6" s="17">
        <f>SUM(C3:C5)</f>
        <v/>
      </c>
      <c r="D6" s="17">
        <f>SUM(D3:D5)</f>
        <v/>
      </c>
      <c r="E6" s="17">
        <f>SUM(E3:E5)</f>
        <v/>
      </c>
      <c r="F6" s="18">
        <f>IFERROR((C6/D6)-1,"")</f>
        <v/>
      </c>
      <c r="G6" s="19" t="inlineStr">
        <is>
          <t>V5 cross-check: harus direkonsiliasi dengan IFRS17 service result; perhatikan tanda audited P/L.</t>
        </is>
      </c>
      <c r="H6" s="19" t="inlineStr"/>
      <c r="I6" s="11" t="inlineStr"/>
    </row>
    <row r="7">
      <c r="A7" s="13" t="inlineStr">
        <is>
          <t>INVESTASI &amp; KEUANGAN</t>
        </is>
      </c>
      <c r="B7" s="13" t="inlineStr">
        <is>
          <t>Net investment result / investment income - net</t>
        </is>
      </c>
      <c r="C7" s="14">
        <f>IFERROR(SUMIFS(Raw_PL_OCI!$C:$C,Raw_PL_OCI!$F:$F,$I7,Raw_PL_OCI!$G:$G,"Y"),0)</f>
        <v/>
      </c>
      <c r="D7" s="14">
        <f>IFERROR(SUMIFS(Raw_PL_OCI!$D:$D,Raw_PL_OCI!$F:$F,$I7,Raw_PL_OCI!$G:$G,"Y"),0)</f>
        <v/>
      </c>
      <c r="E7" s="14">
        <f>IFERROR(SUMIFS(Raw_PL_OCI!$E:$E,Raw_PL_OCI!$F:$F,$I7,Raw_PL_OCI!$G:$G,"Y"),0)</f>
        <v/>
      </c>
      <c r="F7" s="15">
        <f>IFERROR((C7/D7)-1,"")</f>
        <v/>
      </c>
      <c r="G7" s="11" t="n"/>
      <c r="H7" s="11">
        <f>IF(OR(C7=0,C7=""),"Review / optional","OK")</f>
        <v/>
      </c>
      <c r="I7" s="11" t="inlineStr">
        <is>
          <t>PL_INV_RES</t>
        </is>
      </c>
    </row>
    <row r="8">
      <c r="A8" s="13" t="inlineStr">
        <is>
          <t>INVESTASI &amp; KEUANGAN</t>
        </is>
      </c>
      <c r="B8" s="13" t="inlineStr">
        <is>
          <t>Insurance finance income/(expense) from contracts issued</t>
        </is>
      </c>
      <c r="C8" s="14">
        <f>IFERROR(SUMIFS(Raw_PL_OCI!$C:$C,Raw_PL_OCI!$F:$F,$I8,Raw_PL_OCI!$G:$G,"Y"),0)</f>
        <v/>
      </c>
      <c r="D8" s="14">
        <f>IFERROR(SUMIFS(Raw_PL_OCI!$D:$D,Raw_PL_OCI!$F:$F,$I8,Raw_PL_OCI!$G:$G,"Y"),0)</f>
        <v/>
      </c>
      <c r="E8" s="14">
        <f>IFERROR(SUMIFS(Raw_PL_OCI!$E:$E,Raw_PL_OCI!$F:$F,$I8,Raw_PL_OCI!$G:$G,"Y"),0)</f>
        <v/>
      </c>
      <c r="F8" s="15">
        <f>IFERROR((C8/D8)-1,"")</f>
        <v/>
      </c>
      <c r="G8" s="11" t="n"/>
      <c r="H8" s="11">
        <f>IF(OR(C8=0,C8=""),"Review / optional","OK")</f>
        <v/>
      </c>
      <c r="I8" s="11" t="inlineStr">
        <is>
          <t>PL_IF_FIN</t>
        </is>
      </c>
    </row>
    <row r="9">
      <c r="A9" s="13" t="inlineStr">
        <is>
          <t>INVESTASI &amp; KEUANGAN</t>
        </is>
      </c>
      <c r="B9" s="13" t="inlineStr">
        <is>
          <t>Insurance finance income/(expense) from reinsurance held</t>
        </is>
      </c>
      <c r="C9" s="14">
        <f>IFERROR(SUMIFS(Raw_PL_OCI!$C:$C,Raw_PL_OCI!$F:$F,$I9,Raw_PL_OCI!$G:$G,"Y"),0)</f>
        <v/>
      </c>
      <c r="D9" s="14">
        <f>IFERROR(SUMIFS(Raw_PL_OCI!$D:$D,Raw_PL_OCI!$F:$F,$I9,Raw_PL_OCI!$G:$G,"Y"),0)</f>
        <v/>
      </c>
      <c r="E9" s="14">
        <f>IFERROR(SUMIFS(Raw_PL_OCI!$E:$E,Raw_PL_OCI!$F:$F,$I9,Raw_PL_OCI!$G:$G,"Y"),0)</f>
        <v/>
      </c>
      <c r="F9" s="15">
        <f>IFERROR((C9/D9)-1,"")</f>
        <v/>
      </c>
      <c r="G9" s="11" t="n"/>
      <c r="H9" s="11">
        <f>IF(OR(C9=0,C9=""),"Review / optional","OK")</f>
        <v/>
      </c>
      <c r="I9" s="11" t="inlineStr">
        <is>
          <t>PL_REINS_FIN</t>
        </is>
      </c>
    </row>
    <row r="10">
      <c r="A10" s="13" t="inlineStr">
        <is>
          <t>INVESTASI &amp; KEUANGAN</t>
        </is>
      </c>
      <c r="B10" s="13" t="inlineStr">
        <is>
          <t>Net impairment gain/(loss) on financial assets</t>
        </is>
      </c>
      <c r="C10" s="14">
        <f>IFERROR(SUMIFS(Raw_PL_OCI!$C:$C,Raw_PL_OCI!$F:$F,$I10,Raw_PL_OCI!$G:$G,"Y"),0)</f>
        <v/>
      </c>
      <c r="D10" s="14">
        <f>IFERROR(SUMIFS(Raw_PL_OCI!$D:$D,Raw_PL_OCI!$F:$F,$I10,Raw_PL_OCI!$G:$G,"Y"),0)</f>
        <v/>
      </c>
      <c r="E10" s="14">
        <f>IFERROR(SUMIFS(Raw_PL_OCI!$E:$E,Raw_PL_OCI!$F:$F,$I10,Raw_PL_OCI!$G:$G,"Y"),0)</f>
        <v/>
      </c>
      <c r="F10" s="15">
        <f>IFERROR((C10/D10)-1,"")</f>
        <v/>
      </c>
      <c r="G10" s="11" t="n"/>
      <c r="H10" s="11">
        <f>IF(OR(C10=0,C10=""),"Review / optional","OK")</f>
        <v/>
      </c>
      <c r="I10" s="11" t="inlineStr">
        <is>
          <t>PL_IMPAIR</t>
        </is>
      </c>
    </row>
    <row r="11">
      <c r="A11" s="13" t="inlineStr">
        <is>
          <t>INVESTASI &amp; KEUANGAN</t>
        </is>
      </c>
      <c r="B11" s="13" t="inlineStr">
        <is>
          <t>Fee and other operating income</t>
        </is>
      </c>
      <c r="C11" s="14">
        <f>IFERROR(SUMIFS(Raw_PL_OCI!$C:$C,Raw_PL_OCI!$F:$F,$I11,Raw_PL_OCI!$G:$G,"Y"),0)</f>
        <v/>
      </c>
      <c r="D11" s="14">
        <f>IFERROR(SUMIFS(Raw_PL_OCI!$D:$D,Raw_PL_OCI!$F:$F,$I11,Raw_PL_OCI!$G:$G,"Y"),0)</f>
        <v/>
      </c>
      <c r="E11" s="14">
        <f>IFERROR(SUMIFS(Raw_PL_OCI!$E:$E,Raw_PL_OCI!$F:$F,$I11,Raw_PL_OCI!$G:$G,"Y"),0)</f>
        <v/>
      </c>
      <c r="F11" s="15">
        <f>IFERROR((C11/D11)-1,"")</f>
        <v/>
      </c>
      <c r="G11" s="11" t="n"/>
      <c r="H11" s="11">
        <f>IF(OR(C11=0,C11=""),"Review / optional","OK")</f>
        <v/>
      </c>
      <c r="I11" s="11" t="inlineStr">
        <is>
          <t>PL_FEE_OTHER</t>
        </is>
      </c>
    </row>
    <row r="12">
      <c r="A12" s="13" t="inlineStr">
        <is>
          <t>BEBAN</t>
        </is>
      </c>
      <c r="B12" s="13" t="inlineStr">
        <is>
          <t>Operating expenses outside insurance service expense</t>
        </is>
      </c>
      <c r="C12" s="14">
        <f>IFERROR(SUMIFS(Raw_PL_OCI!$C:$C,Raw_PL_OCI!$F:$F,$I12,Raw_PL_OCI!$G:$G,"Y"),0)</f>
        <v/>
      </c>
      <c r="D12" s="14">
        <f>IFERROR(SUMIFS(Raw_PL_OCI!$D:$D,Raw_PL_OCI!$F:$F,$I12,Raw_PL_OCI!$G:$G,"Y"),0)</f>
        <v/>
      </c>
      <c r="E12" s="14">
        <f>IFERROR(SUMIFS(Raw_PL_OCI!$E:$E,Raw_PL_OCI!$F:$F,$I12,Raw_PL_OCI!$G:$G,"Y"),0)</f>
        <v/>
      </c>
      <c r="F12" s="15">
        <f>IFERROR((C12/D12)-1,"")</f>
        <v/>
      </c>
      <c r="G12" s="11" t="n"/>
      <c r="H12" s="11">
        <f>IF(OR(C12=0,C12=""),"Review / optional","OK")</f>
        <v/>
      </c>
      <c r="I12" s="11" t="inlineStr">
        <is>
          <t>PL_OPEX</t>
        </is>
      </c>
    </row>
    <row r="13">
      <c r="A13" s="13" t="inlineStr">
        <is>
          <t>BEBAN</t>
        </is>
      </c>
      <c r="B13" s="13" t="inlineStr">
        <is>
          <t>Finance costs and other non-operating items</t>
        </is>
      </c>
      <c r="C13" s="14">
        <f>IFERROR(SUMIFS(Raw_PL_OCI!$C:$C,Raw_PL_OCI!$F:$F,$I13,Raw_PL_OCI!$G:$G,"Y"),0)</f>
        <v/>
      </c>
      <c r="D13" s="14">
        <f>IFERROR(SUMIFS(Raw_PL_OCI!$D:$D,Raw_PL_OCI!$F:$F,$I13,Raw_PL_OCI!$G:$G,"Y"),0)</f>
        <v/>
      </c>
      <c r="E13" s="14">
        <f>IFERROR(SUMIFS(Raw_PL_OCI!$E:$E,Raw_PL_OCI!$F:$F,$I13,Raw_PL_OCI!$G:$G,"Y"),0)</f>
        <v/>
      </c>
      <c r="F13" s="15">
        <f>IFERROR((C13/D13)-1,"")</f>
        <v/>
      </c>
      <c r="G13" s="11" t="n"/>
      <c r="H13" s="11">
        <f>IF(OR(C13=0,C13=""),"Review / optional","OK")</f>
        <v/>
      </c>
      <c r="I13" s="11" t="inlineStr">
        <is>
          <t>PL_OTHER_NONOP</t>
        </is>
      </c>
    </row>
    <row r="14">
      <c r="A14" s="13" t="inlineStr">
        <is>
          <t>LABA</t>
        </is>
      </c>
      <c r="B14" s="13" t="inlineStr">
        <is>
          <t>PROFIT BEFORE TAX</t>
        </is>
      </c>
      <c r="C14" s="14">
        <f>SUM(C6:C13)</f>
        <v/>
      </c>
      <c r="D14" s="14">
        <f>SUM(D6:D13)</f>
        <v/>
      </c>
      <c r="E14" s="14">
        <f>SUM(E6:E13)</f>
        <v/>
      </c>
      <c r="F14" s="15">
        <f>IFERROR((C14/D14)-1,"")</f>
        <v/>
      </c>
      <c r="G14" s="11" t="n"/>
      <c r="H14" s="11" t="inlineStr"/>
      <c r="I14" s="11" t="inlineStr"/>
    </row>
    <row r="15">
      <c r="A15" s="13" t="inlineStr">
        <is>
          <t>LABA</t>
        </is>
      </c>
      <c r="B15" s="13" t="inlineStr">
        <is>
          <t>Income tax expense</t>
        </is>
      </c>
      <c r="C15" s="14">
        <f>IFERROR(SUMIFS(Raw_PL_OCI!$C:$C,Raw_PL_OCI!$F:$F,$I15,Raw_PL_OCI!$G:$G,"Y"),0)</f>
        <v/>
      </c>
      <c r="D15" s="14">
        <f>IFERROR(SUMIFS(Raw_PL_OCI!$D:$D,Raw_PL_OCI!$F:$F,$I15,Raw_PL_OCI!$G:$G,"Y"),0)</f>
        <v/>
      </c>
      <c r="E15" s="14">
        <f>IFERROR(SUMIFS(Raw_PL_OCI!$E:$E,Raw_PL_OCI!$F:$F,$I15,Raw_PL_OCI!$G:$G,"Y"),0)</f>
        <v/>
      </c>
      <c r="F15" s="15">
        <f>IFERROR((C15/D15)-1,"")</f>
        <v/>
      </c>
      <c r="G15" s="11" t="n"/>
      <c r="H15" s="11">
        <f>IF(OR(C15=0,C15=""),"Review / optional","OK")</f>
        <v/>
      </c>
      <c r="I15" s="11" t="inlineStr">
        <is>
          <t>PL_TAX</t>
        </is>
      </c>
    </row>
    <row r="16">
      <c r="A16" s="13" t="inlineStr">
        <is>
          <t>LABA</t>
        </is>
      </c>
      <c r="B16" s="13" t="inlineStr">
        <is>
          <t>PROFIT FOR THE YEAR</t>
        </is>
      </c>
      <c r="C16" s="14">
        <f>SUM(C14:C15)</f>
        <v/>
      </c>
      <c r="D16" s="14">
        <f>SUM(D14:D15)</f>
        <v/>
      </c>
      <c r="E16" s="14">
        <f>SUM(E14:E15)</f>
        <v/>
      </c>
      <c r="F16" s="15">
        <f>IFERROR((C16/D16)-1,"")</f>
        <v/>
      </c>
      <c r="G16" s="11" t="n"/>
      <c r="H16" s="11" t="inlineStr"/>
      <c r="I16" s="11" t="inlineStr"/>
    </row>
    <row r="17">
      <c r="A17" s="13" t="inlineStr">
        <is>
          <t>OCI</t>
        </is>
      </c>
      <c r="B17" s="13" t="inlineStr">
        <is>
          <t>OCI - FVOCI reserve movement</t>
        </is>
      </c>
      <c r="C17" s="14">
        <f>IFERROR(SUMIFS(Raw_PL_OCI!$C:$C,Raw_PL_OCI!$F:$F,$I17,Raw_PL_OCI!$G:$G,"Y"),0)</f>
        <v/>
      </c>
      <c r="D17" s="14">
        <f>IFERROR(SUMIFS(Raw_PL_OCI!$D:$D,Raw_PL_OCI!$F:$F,$I17,Raw_PL_OCI!$G:$G,"Y"),0)</f>
        <v/>
      </c>
      <c r="E17" s="14">
        <f>IFERROR(SUMIFS(Raw_PL_OCI!$E:$E,Raw_PL_OCI!$F:$F,$I17,Raw_PL_OCI!$G:$G,"Y"),0)</f>
        <v/>
      </c>
      <c r="F17" s="15">
        <f>IFERROR((C17/D17)-1,"")</f>
        <v/>
      </c>
      <c r="G17" s="11" t="n"/>
      <c r="H17" s="11">
        <f>IF(OR(C17=0,C17=""),"Review / optional","OK")</f>
        <v/>
      </c>
      <c r="I17" s="11" t="inlineStr">
        <is>
          <t>OCI_FVOCI</t>
        </is>
      </c>
    </row>
    <row r="18">
      <c r="A18" s="13" t="inlineStr">
        <is>
          <t>OCI</t>
        </is>
      </c>
      <c r="B18" s="13" t="inlineStr">
        <is>
          <t>OCI - insurance finance OCI</t>
        </is>
      </c>
      <c r="C18" s="14">
        <f>IFERROR(SUMIFS(Raw_PL_OCI!$C:$C,Raw_PL_OCI!$F:$F,$I18,Raw_PL_OCI!$G:$G,"Y"),0)</f>
        <v/>
      </c>
      <c r="D18" s="14">
        <f>IFERROR(SUMIFS(Raw_PL_OCI!$D:$D,Raw_PL_OCI!$F:$F,$I18,Raw_PL_OCI!$G:$G,"Y"),0)</f>
        <v/>
      </c>
      <c r="E18" s="14">
        <f>IFERROR(SUMIFS(Raw_PL_OCI!$E:$E,Raw_PL_OCI!$F:$F,$I18,Raw_PL_OCI!$G:$G,"Y"),0)</f>
        <v/>
      </c>
      <c r="F18" s="15">
        <f>IFERROR((C18/D18)-1,"")</f>
        <v/>
      </c>
      <c r="G18" s="11" t="n"/>
      <c r="H18" s="11">
        <f>IF(OR(C18=0,C18=""),"Review / optional","OK")</f>
        <v/>
      </c>
      <c r="I18" s="11" t="inlineStr">
        <is>
          <t>OCI_IFOCI</t>
        </is>
      </c>
    </row>
    <row r="19">
      <c r="A19" s="13" t="inlineStr">
        <is>
          <t>OCI</t>
        </is>
      </c>
      <c r="B19" s="13" t="inlineStr">
        <is>
          <t>OCI - other OCI</t>
        </is>
      </c>
      <c r="C19" s="14">
        <f>IFERROR(SUMIFS(Raw_PL_OCI!$C:$C,Raw_PL_OCI!$F:$F,$I19,Raw_PL_OCI!$G:$G,"Y"),0)</f>
        <v/>
      </c>
      <c r="D19" s="14">
        <f>IFERROR(SUMIFS(Raw_PL_OCI!$D:$D,Raw_PL_OCI!$F:$F,$I19,Raw_PL_OCI!$G:$G,"Y"),0)</f>
        <v/>
      </c>
      <c r="E19" s="14">
        <f>IFERROR(SUMIFS(Raw_PL_OCI!$E:$E,Raw_PL_OCI!$F:$F,$I19,Raw_PL_OCI!$G:$G,"Y"),0)</f>
        <v/>
      </c>
      <c r="F19" s="15">
        <f>IFERROR((C19/D19)-1,"")</f>
        <v/>
      </c>
      <c r="G19" s="11" t="n"/>
      <c r="H19" s="11">
        <f>IF(OR(C19=0,C19=""),"Review / optional","OK")</f>
        <v/>
      </c>
      <c r="I19" s="11" t="inlineStr">
        <is>
          <t>OCI_OTHER</t>
        </is>
      </c>
    </row>
    <row r="20">
      <c r="A20" s="16" t="inlineStr">
        <is>
          <t>OCI</t>
        </is>
      </c>
      <c r="B20" s="16" t="inlineStr">
        <is>
          <t>TOTAL OCI</t>
        </is>
      </c>
      <c r="C20" s="17">
        <f>SUM(C17:C19)</f>
        <v/>
      </c>
      <c r="D20" s="17">
        <f>SUM(D17:D19)</f>
        <v/>
      </c>
      <c r="E20" s="17">
        <f>SUM(E17:E19)</f>
        <v/>
      </c>
      <c r="F20" s="18">
        <f>IFERROR((C20/D20)-1,"")</f>
        <v/>
      </c>
      <c r="G20" s="19" t="n"/>
      <c r="H20" s="19" t="inlineStr"/>
      <c r="I20" s="11" t="inlineStr"/>
    </row>
    <row r="21">
      <c r="A21" s="16" t="inlineStr">
        <is>
          <t>OCI</t>
        </is>
      </c>
      <c r="B21" s="16" t="inlineStr">
        <is>
          <t>TOTAL COMPREHENSIVE INCOME</t>
        </is>
      </c>
      <c r="C21" s="17">
        <f>C16+C20</f>
        <v/>
      </c>
      <c r="D21" s="17">
        <f>D16+D20</f>
        <v/>
      </c>
      <c r="E21" s="17">
        <f>E16+E20</f>
        <v/>
      </c>
      <c r="F21" s="18">
        <f>IFERROR((C21/D21)-1,"")</f>
        <v/>
      </c>
      <c r="G21" s="19" t="n"/>
      <c r="H21" s="19" t="inlineStr"/>
      <c r="I21" s="11" t="inlineStr"/>
    </row>
    <row r="22">
      <c r="A22" s="16" t="inlineStr">
        <is>
          <t>KONTROL</t>
        </is>
      </c>
      <c r="B22" s="16" t="inlineStr">
        <is>
          <t>TOTAL INCOME (MANAGEMENT VIEW)</t>
        </is>
      </c>
      <c r="C22" s="17">
        <f>SUM(C3,C7:C11)</f>
        <v/>
      </c>
      <c r="D22" s="17">
        <f>SUM(D3,D7:D11)</f>
        <v/>
      </c>
      <c r="E22" s="17">
        <f>SUM(E3,E7:E11)</f>
        <v/>
      </c>
      <c r="F22" s="18">
        <f>IFERROR((C22/D22)-1,"")</f>
        <v/>
      </c>
      <c r="G22" s="19" t="n"/>
      <c r="H22" s="19" t="inlineStr"/>
      <c r="I22" s="11" t="inlineStr"/>
    </row>
  </sheetData>
  <mergeCells count="1">
    <mergeCell ref="A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  <col hidden="1" width="14" customWidth="1" min="9" max="9"/>
  </cols>
  <sheetData>
    <row r="1" ht="24" customHeight="1">
      <c r="A1" s="10" t="inlineStr">
        <is>
          <t>INPUT STATEMENT OF CASH FLOWS</t>
        </is>
      </c>
    </row>
    <row r="2">
      <c r="A2" s="12" t="inlineStr">
        <is>
          <t>Kelompok</t>
        </is>
      </c>
      <c r="B2" s="12" t="inlineStr">
        <is>
          <t>Akun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Growth vs PY</t>
        </is>
      </c>
      <c r="G2" s="12" t="inlineStr">
        <is>
          <t>Ratio / note</t>
        </is>
      </c>
      <c r="H2" s="12" t="inlineStr">
        <is>
          <t>Status</t>
        </is>
      </c>
      <c r="I2" s="12" t="inlineStr">
        <is>
          <t>Mapping code</t>
        </is>
      </c>
    </row>
    <row r="3">
      <c r="A3" s="13" t="inlineStr">
        <is>
          <t>OPERASI</t>
        </is>
      </c>
      <c r="B3" s="13" t="inlineStr">
        <is>
          <t>Net cash from/(used in) operating activities</t>
        </is>
      </c>
      <c r="C3" s="14">
        <f>IFERROR(SUMIFS(Raw_CF!$C:$C,Raw_CF!$F:$F,$I3,Raw_CF!$G:$G,"Y"),0)</f>
        <v/>
      </c>
      <c r="D3" s="14">
        <f>IFERROR(SUMIFS(Raw_CF!$D:$D,Raw_CF!$F:$F,$I3,Raw_CF!$G:$G,"Y"),0)</f>
        <v/>
      </c>
      <c r="E3" s="14">
        <f>IFERROR(SUMIFS(Raw_CF!$E:$E,Raw_CF!$F:$F,$I3,Raw_CF!$G:$G,"Y"),0)</f>
        <v/>
      </c>
      <c r="F3" s="15">
        <f>IFERROR((C3/D3)-1,"")</f>
        <v/>
      </c>
      <c r="G3" s="11" t="inlineStr">
        <is>
          <t>OCF</t>
        </is>
      </c>
      <c r="H3" s="11" t="n"/>
      <c r="I3" s="11" t="inlineStr">
        <is>
          <t>CF_OPER</t>
        </is>
      </c>
    </row>
    <row r="4">
      <c r="A4" s="13" t="inlineStr">
        <is>
          <t>INVESTASI</t>
        </is>
      </c>
      <c r="B4" s="13" t="inlineStr">
        <is>
          <t>Net cash from/(used in) investing activities</t>
        </is>
      </c>
      <c r="C4" s="14">
        <f>IFERROR(SUMIFS(Raw_CF!$C:$C,Raw_CF!$F:$F,$I4,Raw_CF!$G:$G,"Y"),0)</f>
        <v/>
      </c>
      <c r="D4" s="14">
        <f>IFERROR(SUMIFS(Raw_CF!$D:$D,Raw_CF!$F:$F,$I4,Raw_CF!$G:$G,"Y"),0)</f>
        <v/>
      </c>
      <c r="E4" s="14">
        <f>IFERROR(SUMIFS(Raw_CF!$E:$E,Raw_CF!$F:$F,$I4,Raw_CF!$G:$G,"Y"),0)</f>
        <v/>
      </c>
      <c r="F4" s="15">
        <f>IFERROR((C4/D4)-1,"")</f>
        <v/>
      </c>
      <c r="G4" s="11" t="n"/>
      <c r="H4" s="11" t="n"/>
      <c r="I4" s="11" t="inlineStr">
        <is>
          <t>CF_INVEST</t>
        </is>
      </c>
    </row>
    <row r="5">
      <c r="A5" s="13" t="inlineStr">
        <is>
          <t>PENDANAAN</t>
        </is>
      </c>
      <c r="B5" s="13" t="inlineStr">
        <is>
          <t>Net cash from/(used in) financing activities</t>
        </is>
      </c>
      <c r="C5" s="14">
        <f>IFERROR(SUMIFS(Raw_CF!$C:$C,Raw_CF!$F:$F,$I5,Raw_CF!$G:$G,"Y"),0)</f>
        <v/>
      </c>
      <c r="D5" s="14">
        <f>IFERROR(SUMIFS(Raw_CF!$D:$D,Raw_CF!$F:$F,$I5,Raw_CF!$G:$G,"Y"),0)</f>
        <v/>
      </c>
      <c r="E5" s="14">
        <f>IFERROR(SUMIFS(Raw_CF!$E:$E,Raw_CF!$F:$F,$I5,Raw_CF!$G:$G,"Y"),0)</f>
        <v/>
      </c>
      <c r="F5" s="15">
        <f>IFERROR((C5/D5)-1,"")</f>
        <v/>
      </c>
      <c r="G5" s="11" t="n"/>
      <c r="H5" s="11" t="n"/>
      <c r="I5" s="11" t="inlineStr">
        <is>
          <t>CF_FIN</t>
        </is>
      </c>
    </row>
    <row r="6">
      <c r="A6" s="13" t="inlineStr">
        <is>
          <t>REKONSILIASI</t>
        </is>
      </c>
      <c r="B6" s="13" t="inlineStr">
        <is>
          <t>Net FX / other reconciling items</t>
        </is>
      </c>
      <c r="C6" s="14">
        <f>IFERROR(SUMIFS(Raw_CF!$C:$C,Raw_CF!$F:$F,$I6,Raw_CF!$G:$G,"Y"),0)</f>
        <v/>
      </c>
      <c r="D6" s="14">
        <f>IFERROR(SUMIFS(Raw_CF!$D:$D,Raw_CF!$F:$F,$I6,Raw_CF!$G:$G,"Y"),0)</f>
        <v/>
      </c>
      <c r="E6" s="14">
        <f>IFERROR(SUMIFS(Raw_CF!$E:$E,Raw_CF!$F:$F,$I6,Raw_CF!$G:$G,"Y"),0)</f>
        <v/>
      </c>
      <c r="F6" s="15">
        <f>IFERROR((C6/D6)-1,"")</f>
        <v/>
      </c>
      <c r="G6" s="11" t="n"/>
      <c r="H6" s="11" t="n"/>
      <c r="I6" s="11" t="inlineStr">
        <is>
          <t>CF_OTHER</t>
        </is>
      </c>
    </row>
    <row r="7">
      <c r="A7" s="13" t="inlineStr">
        <is>
          <t>NETO</t>
        </is>
      </c>
      <c r="B7" s="13" t="inlineStr">
        <is>
          <t>Net increase/(decrease) in cash</t>
        </is>
      </c>
      <c r="C7" s="14">
        <f>SUM(C3:C6)</f>
        <v/>
      </c>
      <c r="D7" s="14">
        <f>SUM(D3:D6)</f>
        <v/>
      </c>
      <c r="E7" s="14">
        <f>SUM(E3:E6)</f>
        <v/>
      </c>
      <c r="F7" s="15">
        <f>IFERROR((C7/D7)-1,"")</f>
        <v/>
      </c>
      <c r="G7" s="11" t="n"/>
      <c r="H7" s="11" t="n"/>
      <c r="I7" s="11" t="inlineStr"/>
    </row>
    <row r="8">
      <c r="A8" s="13" t="inlineStr">
        <is>
          <t>SALDO</t>
        </is>
      </c>
      <c r="B8" s="13" t="inlineStr">
        <is>
          <t>Cash and cash equivalents at beginning of year</t>
        </is>
      </c>
      <c r="C8" s="14">
        <f>IFERROR(SUMIFS(Raw_CF!$C:$C,Raw_CF!$F:$F,$I8,Raw_CF!$G:$G,"Y"),0)</f>
        <v/>
      </c>
      <c r="D8" s="14">
        <f>IFERROR(SUMIFS(Raw_CF!$D:$D,Raw_CF!$F:$F,$I8,Raw_CF!$G:$G,"Y"),0)</f>
        <v/>
      </c>
      <c r="E8" s="14">
        <f>IFERROR(SUMIFS(Raw_CF!$E:$E,Raw_CF!$F:$F,$I8,Raw_CF!$G:$G,"Y"),0)</f>
        <v/>
      </c>
      <c r="F8" s="15">
        <f>IFERROR((C8/D8)-1,"")</f>
        <v/>
      </c>
      <c r="G8" s="11" t="n"/>
      <c r="H8" s="11" t="n"/>
      <c r="I8" s="11" t="inlineStr">
        <is>
          <t>CF_BEGIN</t>
        </is>
      </c>
    </row>
    <row r="9">
      <c r="A9" s="13" t="inlineStr">
        <is>
          <t>SALDO</t>
        </is>
      </c>
      <c r="B9" s="13" t="inlineStr">
        <is>
          <t>Cash and cash equivalents at end of year</t>
        </is>
      </c>
      <c r="C9" s="14">
        <f>C7+C8</f>
        <v/>
      </c>
      <c r="D9" s="14">
        <f>D7+D8</f>
        <v/>
      </c>
      <c r="E9" s="14">
        <f>E7+E8</f>
        <v/>
      </c>
      <c r="F9" s="15">
        <f>IFERROR((C9/D9)-1,"")</f>
        <v/>
      </c>
      <c r="G9" s="11" t="inlineStr">
        <is>
          <t>Ending cash</t>
        </is>
      </c>
      <c r="H9" s="11" t="n"/>
      <c r="I9" s="11" t="inlineStr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  <col hidden="1" width="14" customWidth="1" min="9" max="9"/>
  </cols>
  <sheetData>
    <row r="1" ht="24" customHeight="1">
      <c r="A1" s="10" t="inlineStr">
        <is>
          <t>INPUT DETAIL IFRS 17 / PSAK 117 – ASURANSI JIWA</t>
        </is>
      </c>
    </row>
    <row r="2">
      <c r="A2" s="12" t="inlineStr">
        <is>
          <t>Kelompok</t>
        </is>
      </c>
      <c r="B2" s="12" t="inlineStr">
        <is>
          <t>Akun standar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Growth vs PY</t>
        </is>
      </c>
      <c r="G2" s="12" t="inlineStr">
        <is>
          <t>Ratio / note</t>
        </is>
      </c>
      <c r="H2" s="12" t="inlineStr">
        <is>
          <t>Status</t>
        </is>
      </c>
      <c r="I2" s="12" t="inlineStr">
        <is>
          <t>Mapping code</t>
        </is>
      </c>
    </row>
    <row r="3">
      <c r="A3" s="13" t="inlineStr">
        <is>
          <t>Hasil jasa</t>
        </is>
      </c>
      <c r="B3" s="13" t="inlineStr">
        <is>
          <t>Insurance revenue total</t>
        </is>
      </c>
      <c r="C3" s="14">
        <f>IFERROR(SUMIFS(Raw_IFRS17!$C:$C,Raw_IFRS17!$F:$F,$I3,Raw_IFRS17!$G:$G,"Y"),0)</f>
        <v/>
      </c>
      <c r="D3" s="14">
        <f>IFERROR(SUMIFS(Raw_IFRS17!$D:$D,Raw_IFRS17!$F:$F,$I3,Raw_IFRS17!$G:$G,"Y"),0)</f>
        <v/>
      </c>
      <c r="E3" s="14">
        <f>IFERROR(SUMIFS(Raw_IFRS17!$E:$E,Raw_IFRS17!$F:$F,$I3,Raw_IFRS17!$G:$G,"Y"),0)</f>
        <v/>
      </c>
      <c r="F3" s="15">
        <f>IFERROR((C3/D3)-1,"")</f>
        <v/>
      </c>
      <c r="G3" s="11" t="n"/>
      <c r="H3" s="11">
        <f>IF(OR(C3=0,C3=""),"Review / optional","OK")</f>
        <v/>
      </c>
      <c r="I3" s="11" t="inlineStr">
        <is>
          <t>I17_REV</t>
        </is>
      </c>
    </row>
    <row r="4">
      <c r="A4" s="13" t="inlineStr">
        <is>
          <t>Hasil jasa</t>
        </is>
      </c>
      <c r="B4" s="13" t="inlineStr">
        <is>
          <t>Claims and benefits incurred</t>
        </is>
      </c>
      <c r="C4" s="14">
        <f>IFERROR(SUMIFS(Raw_IFRS17!$C:$C,Raw_IFRS17!$F:$F,$I4,Raw_IFRS17!$G:$G,"Y"),0)</f>
        <v/>
      </c>
      <c r="D4" s="14">
        <f>IFERROR(SUMIFS(Raw_IFRS17!$D:$D,Raw_IFRS17!$F:$F,$I4,Raw_IFRS17!$G:$G,"Y"),0)</f>
        <v/>
      </c>
      <c r="E4" s="14">
        <f>IFERROR(SUMIFS(Raw_IFRS17!$E:$E,Raw_IFRS17!$F:$F,$I4,Raw_IFRS17!$G:$G,"Y"),0)</f>
        <v/>
      </c>
      <c r="F4" s="15">
        <f>IFERROR((C4/D4)-1,"")</f>
        <v/>
      </c>
      <c r="G4" s="11" t="n"/>
      <c r="H4" s="11">
        <f>IF(OR(C4=0,C4=""),"Review / optional","OK")</f>
        <v/>
      </c>
      <c r="I4" s="11" t="inlineStr">
        <is>
          <t>I17_CLAIMS</t>
        </is>
      </c>
    </row>
    <row r="5">
      <c r="A5" s="13" t="inlineStr">
        <is>
          <t>Hasil jasa</t>
        </is>
      </c>
      <c r="B5" s="13" t="inlineStr">
        <is>
          <t>Acquisition cash flow amortisation / commissions in service expense</t>
        </is>
      </c>
      <c r="C5" s="14">
        <f>IFERROR(SUMIFS(Raw_IFRS17!$C:$C,Raw_IFRS17!$F:$F,$I5,Raw_IFRS17!$G:$G,"Y"),0)</f>
        <v/>
      </c>
      <c r="D5" s="14">
        <f>IFERROR(SUMIFS(Raw_IFRS17!$D:$D,Raw_IFRS17!$F:$F,$I5,Raw_IFRS17!$G:$G,"Y"),0)</f>
        <v/>
      </c>
      <c r="E5" s="14">
        <f>IFERROR(SUMIFS(Raw_IFRS17!$E:$E,Raw_IFRS17!$F:$F,$I5,Raw_IFRS17!$G:$G,"Y"),0)</f>
        <v/>
      </c>
      <c r="F5" s="15">
        <f>IFERROR((C5/D5)-1,"")</f>
        <v/>
      </c>
      <c r="G5" s="11" t="n"/>
      <c r="H5" s="11">
        <f>IF(OR(C5=0,C5=""),"Review / optional","OK")</f>
        <v/>
      </c>
      <c r="I5" s="11" t="inlineStr">
        <is>
          <t>I17_ACQ_AMORT</t>
        </is>
      </c>
    </row>
    <row r="6">
      <c r="A6" s="13" t="inlineStr">
        <is>
          <t>Hasil jasa</t>
        </is>
      </c>
      <c r="B6" s="13" t="inlineStr">
        <is>
          <t>Other directly attributable expenses</t>
        </is>
      </c>
      <c r="C6" s="14">
        <f>IFERROR(SUMIFS(Raw_IFRS17!$C:$C,Raw_IFRS17!$F:$F,$I6,Raw_IFRS17!$G:$G,"Y"),0)</f>
        <v/>
      </c>
      <c r="D6" s="14">
        <f>IFERROR(SUMIFS(Raw_IFRS17!$D:$D,Raw_IFRS17!$F:$F,$I6,Raw_IFRS17!$G:$G,"Y"),0)</f>
        <v/>
      </c>
      <c r="E6" s="14">
        <f>IFERROR(SUMIFS(Raw_IFRS17!$E:$E,Raw_IFRS17!$F:$F,$I6,Raw_IFRS17!$G:$G,"Y"),0)</f>
        <v/>
      </c>
      <c r="F6" s="15">
        <f>IFERROR((C6/D6)-1,"")</f>
        <v/>
      </c>
      <c r="G6" s="11" t="n"/>
      <c r="H6" s="11">
        <f>IF(OR(C6=0,C6=""),"Review / optional","OK")</f>
        <v/>
      </c>
      <c r="I6" s="11" t="inlineStr">
        <is>
          <t>I17_OTHER_EXP</t>
        </is>
      </c>
    </row>
    <row r="7">
      <c r="A7" s="13" t="inlineStr">
        <is>
          <t>Hasil jasa</t>
        </is>
      </c>
      <c r="B7" s="13" t="inlineStr">
        <is>
          <t>Losses on onerous contracts and reversals</t>
        </is>
      </c>
      <c r="C7" s="14">
        <f>IFERROR(SUMIFS(Raw_IFRS17!$C:$C,Raw_IFRS17!$F:$F,$I7,Raw_IFRS17!$G:$G,"Y"),0)</f>
        <v/>
      </c>
      <c r="D7" s="14">
        <f>IFERROR(SUMIFS(Raw_IFRS17!$D:$D,Raw_IFRS17!$F:$F,$I7,Raw_IFRS17!$G:$G,"Y"),0)</f>
        <v/>
      </c>
      <c r="E7" s="14">
        <f>IFERROR(SUMIFS(Raw_IFRS17!$E:$E,Raw_IFRS17!$F:$F,$I7,Raw_IFRS17!$G:$G,"Y"),0)</f>
        <v/>
      </c>
      <c r="F7" s="15">
        <f>IFERROR((C7/D7)-1,"")</f>
        <v/>
      </c>
      <c r="G7" s="11" t="n"/>
      <c r="H7" s="11">
        <f>IF(OR(C7=0,C7=""),"Review / optional","OK")</f>
        <v/>
      </c>
      <c r="I7" s="11" t="inlineStr">
        <is>
          <t>I17_ONEROUS</t>
        </is>
      </c>
    </row>
    <row r="8">
      <c r="A8" s="13" t="inlineStr">
        <is>
          <t>Reasuransi</t>
        </is>
      </c>
      <c r="B8" s="13" t="inlineStr">
        <is>
          <t>Net expense/(income) from reinsurance contracts held</t>
        </is>
      </c>
      <c r="C8" s="14">
        <f>IFERROR(SUMIFS(Raw_IFRS17!$C:$C,Raw_IFRS17!$F:$F,$I8,Raw_IFRS17!$G:$G,"Y"),0)</f>
        <v/>
      </c>
      <c r="D8" s="14">
        <f>IFERROR(SUMIFS(Raw_IFRS17!$D:$D,Raw_IFRS17!$F:$F,$I8,Raw_IFRS17!$G:$G,"Y"),0)</f>
        <v/>
      </c>
      <c r="E8" s="14">
        <f>IFERROR(SUMIFS(Raw_IFRS17!$E:$E,Raw_IFRS17!$F:$F,$I8,Raw_IFRS17!$G:$G,"Y"),0)</f>
        <v/>
      </c>
      <c r="F8" s="15">
        <f>IFERROR((C8/D8)-1,"")</f>
        <v/>
      </c>
      <c r="G8" s="11" t="n"/>
      <c r="H8" s="11">
        <f>IF(OR(C8=0,C8=""),"Review / optional","OK")</f>
        <v/>
      </c>
      <c r="I8" s="11" t="inlineStr">
        <is>
          <t>I17_REINS_NET</t>
        </is>
      </c>
    </row>
    <row r="9">
      <c r="A9" s="16" t="inlineStr">
        <is>
          <t>Hasil jasa</t>
        </is>
      </c>
      <c r="B9" s="16" t="inlineStr">
        <is>
          <t>INSURANCE SERVICE RESULT</t>
        </is>
      </c>
      <c r="C9" s="17">
        <f>IF(C3=0,"",C3-C4-C5-C6-C7+C8)</f>
        <v/>
      </c>
      <c r="D9" s="17">
        <f>IF(D3=0,"",D3-D4-D5-D6-D7+D8)</f>
        <v/>
      </c>
      <c r="E9" s="17">
        <f>IF(E3=0,"",E3-E4-E5-E6-E7+E8)</f>
        <v/>
      </c>
      <c r="F9" s="18">
        <f>IFERROR((C9/D9)-1,"")</f>
        <v/>
      </c>
      <c r="G9" s="19" t="inlineStr">
        <is>
          <t>V5: revenue - claims - acquisition - other expense - onerous + reinsurance net result.</t>
        </is>
      </c>
      <c r="H9" s="19" t="inlineStr"/>
      <c r="I9" s="11" t="inlineStr"/>
    </row>
    <row r="10">
      <c r="A10" s="13" t="inlineStr">
        <is>
          <t>Keuangan</t>
        </is>
      </c>
      <c r="B10" s="13" t="inlineStr">
        <is>
          <t>Insurance finance income/(expense) - contracts issued</t>
        </is>
      </c>
      <c r="C10" s="14">
        <f>IFERROR(SUMIFS(Raw_IFRS17!$C:$C,Raw_IFRS17!$F:$F,$I10,Raw_IFRS17!$G:$G,"Y"),0)</f>
        <v/>
      </c>
      <c r="D10" s="14">
        <f>IFERROR(SUMIFS(Raw_IFRS17!$D:$D,Raw_IFRS17!$F:$F,$I10,Raw_IFRS17!$G:$G,"Y"),0)</f>
        <v/>
      </c>
      <c r="E10" s="14">
        <f>IFERROR(SUMIFS(Raw_IFRS17!$E:$E,Raw_IFRS17!$F:$F,$I10,Raw_IFRS17!$G:$G,"Y"),0)</f>
        <v/>
      </c>
      <c r="F10" s="15">
        <f>IFERROR((C10/D10)-1,"")</f>
        <v/>
      </c>
      <c r="G10" s="11" t="n"/>
      <c r="H10" s="11">
        <f>IF(OR(C10=0,C10=""),"Review / optional","OK")</f>
        <v/>
      </c>
      <c r="I10" s="11" t="inlineStr">
        <is>
          <t>I17_FIN_ISSUED</t>
        </is>
      </c>
    </row>
    <row r="11">
      <c r="A11" s="13" t="inlineStr">
        <is>
          <t>Keuangan</t>
        </is>
      </c>
      <c r="B11" s="13" t="inlineStr">
        <is>
          <t>Insurance finance income/(expense) - reinsurance held</t>
        </is>
      </c>
      <c r="C11" s="14">
        <f>IFERROR(SUMIFS(Raw_IFRS17!$C:$C,Raw_IFRS17!$F:$F,$I11,Raw_IFRS17!$G:$G,"Y"),0)</f>
        <v/>
      </c>
      <c r="D11" s="14">
        <f>IFERROR(SUMIFS(Raw_IFRS17!$D:$D,Raw_IFRS17!$F:$F,$I11,Raw_IFRS17!$G:$G,"Y"),0)</f>
        <v/>
      </c>
      <c r="E11" s="14">
        <f>IFERROR(SUMIFS(Raw_IFRS17!$E:$E,Raw_IFRS17!$F:$F,$I11,Raw_IFRS17!$G:$G,"Y"),0)</f>
        <v/>
      </c>
      <c r="F11" s="15">
        <f>IFERROR((C11/D11)-1,"")</f>
        <v/>
      </c>
      <c r="G11" s="11" t="n"/>
      <c r="H11" s="11">
        <f>IF(OR(C11=0,C11=""),"Review / optional","OK")</f>
        <v/>
      </c>
      <c r="I11" s="11" t="inlineStr">
        <is>
          <t>I17_FIN_REINS</t>
        </is>
      </c>
    </row>
    <row r="12">
      <c r="A12" s="16" t="inlineStr">
        <is>
          <t>Keuangan</t>
        </is>
      </c>
      <c r="B12" s="16" t="inlineStr">
        <is>
          <t>INSURANCE RESULT AFTER FINANCE</t>
        </is>
      </c>
      <c r="C12" s="17">
        <f>IF(C9="","",C9+C10+C11)</f>
        <v/>
      </c>
      <c r="D12" s="17">
        <f>IF(D9="","",D9+D10+D11)</f>
        <v/>
      </c>
      <c r="E12" s="17">
        <f>IF(E9="","",E9+E10+E11)</f>
        <v/>
      </c>
      <c r="F12" s="18">
        <f>IFERROR((C12/D12)-1,"")</f>
        <v/>
      </c>
      <c r="G12" s="19" t="n"/>
      <c r="H12" s="19" t="inlineStr"/>
      <c r="I12" s="11" t="inlineStr"/>
    </row>
    <row r="13">
      <c r="A13" s="13" t="inlineStr">
        <is>
          <t>Posisi keuangan</t>
        </is>
      </c>
      <c r="B13" s="13" t="inlineStr">
        <is>
          <t>Insurance contract liabilities</t>
        </is>
      </c>
      <c r="C13" s="14">
        <f>IFERROR(SUMIFS(Raw_IFRS17!$C:$C,Raw_IFRS17!$F:$F,$I13,Raw_IFRS17!$G:$G,"Y"),0)</f>
        <v/>
      </c>
      <c r="D13" s="14">
        <f>IFERROR(SUMIFS(Raw_IFRS17!$D:$D,Raw_IFRS17!$F:$F,$I13,Raw_IFRS17!$G:$G,"Y"),0)</f>
        <v/>
      </c>
      <c r="E13" s="14">
        <f>IFERROR(SUMIFS(Raw_IFRS17!$E:$E,Raw_IFRS17!$F:$F,$I13,Raw_IFRS17!$G:$G,"Y"),0)</f>
        <v/>
      </c>
      <c r="F13" s="15">
        <f>IFERROR((C13/D13)-1,"")</f>
        <v/>
      </c>
      <c r="G13" s="11" t="n"/>
      <c r="H13" s="11">
        <f>IF(OR(C13=0,C13=""),"Review / optional","OK")</f>
        <v/>
      </c>
      <c r="I13" s="11" t="inlineStr">
        <is>
          <t>I17_LIAB</t>
        </is>
      </c>
    </row>
    <row r="14">
      <c r="A14" s="13" t="inlineStr">
        <is>
          <t>Posisi keuangan</t>
        </is>
      </c>
      <c r="B14" s="13" t="inlineStr">
        <is>
          <t>Reinsurance contract assets</t>
        </is>
      </c>
      <c r="C14" s="14">
        <f>IFERROR(SUMIFS(Raw_IFRS17!$C:$C,Raw_IFRS17!$F:$F,$I14,Raw_IFRS17!$G:$G,"Y"),0)</f>
        <v/>
      </c>
      <c r="D14" s="14">
        <f>IFERROR(SUMIFS(Raw_IFRS17!$D:$D,Raw_IFRS17!$F:$F,$I14,Raw_IFRS17!$G:$G,"Y"),0)</f>
        <v/>
      </c>
      <c r="E14" s="14">
        <f>IFERROR(SUMIFS(Raw_IFRS17!$E:$E,Raw_IFRS17!$F:$F,$I14,Raw_IFRS17!$G:$G,"Y"),0)</f>
        <v/>
      </c>
      <c r="F14" s="15">
        <f>IFERROR((C14/D14)-1,"")</f>
        <v/>
      </c>
      <c r="G14" s="11" t="n"/>
      <c r="H14" s="11">
        <f>IF(OR(C14=0,C14=""),"Review / optional","OK")</f>
        <v/>
      </c>
      <c r="I14" s="11" t="inlineStr">
        <is>
          <t>I17_REINS_ASSET</t>
        </is>
      </c>
    </row>
    <row r="15">
      <c r="A15" s="13" t="inlineStr">
        <is>
          <t>Posisi keuangan</t>
        </is>
      </c>
      <c r="B15" s="13" t="inlineStr">
        <is>
          <t>Reinsurance contract liabilities</t>
        </is>
      </c>
      <c r="C15" s="14">
        <f>IFERROR(SUMIFS(Raw_IFRS17!$C:$C,Raw_IFRS17!$F:$F,$I15,Raw_IFRS17!$G:$G,"Y"),0)</f>
        <v/>
      </c>
      <c r="D15" s="14">
        <f>IFERROR(SUMIFS(Raw_IFRS17!$D:$D,Raw_IFRS17!$F:$F,$I15,Raw_IFRS17!$G:$G,"Y"),0)</f>
        <v/>
      </c>
      <c r="E15" s="14">
        <f>IFERROR(SUMIFS(Raw_IFRS17!$E:$E,Raw_IFRS17!$F:$F,$I15,Raw_IFRS17!$G:$G,"Y"),0)</f>
        <v/>
      </c>
      <c r="F15" s="15">
        <f>IFERROR((C15/D15)-1,"")</f>
        <v/>
      </c>
      <c r="G15" s="11" t="n"/>
      <c r="H15" s="11">
        <f>IF(OR(C15=0,C15=""),"Review / optional","OK")</f>
        <v/>
      </c>
      <c r="I15" s="11" t="inlineStr">
        <is>
          <t>I17_REINS_LIAB</t>
        </is>
      </c>
    </row>
    <row r="16">
      <c r="A16" s="13" t="inlineStr">
        <is>
          <t>Posisi keuangan</t>
        </is>
      </c>
      <c r="B16" s="13" t="inlineStr">
        <is>
          <t>Liability for remaining coverage (LRC) excl. loss component</t>
        </is>
      </c>
      <c r="C16" s="14">
        <f>IFERROR(SUMIFS(Raw_IFRS17!$C:$C,Raw_IFRS17!$F:$F,$I16,Raw_IFRS17!$G:$G,"Y"),0)</f>
        <v/>
      </c>
      <c r="D16" s="14">
        <f>IFERROR(SUMIFS(Raw_IFRS17!$D:$D,Raw_IFRS17!$F:$F,$I16,Raw_IFRS17!$G:$G,"Y"),0)</f>
        <v/>
      </c>
      <c r="E16" s="14">
        <f>IFERROR(SUMIFS(Raw_IFRS17!$E:$E,Raw_IFRS17!$F:$F,$I16,Raw_IFRS17!$G:$G,"Y"),0)</f>
        <v/>
      </c>
      <c r="F16" s="15">
        <f>IFERROR((C16/D16)-1,"")</f>
        <v/>
      </c>
      <c r="G16" s="11" t="n"/>
      <c r="H16" s="11">
        <f>IF(OR(C16=0,C16=""),"Review / optional","OK")</f>
        <v/>
      </c>
      <c r="I16" s="11" t="inlineStr">
        <is>
          <t>I17_LRC</t>
        </is>
      </c>
    </row>
    <row r="17">
      <c r="A17" s="13" t="inlineStr">
        <is>
          <t>Posisi keuangan</t>
        </is>
      </c>
      <c r="B17" s="13" t="inlineStr">
        <is>
          <t>Liability for incurred claims (LIC)</t>
        </is>
      </c>
      <c r="C17" s="14">
        <f>IFERROR(SUMIFS(Raw_IFRS17!$C:$C,Raw_IFRS17!$F:$F,$I17,Raw_IFRS17!$G:$G,"Y"),0)</f>
        <v/>
      </c>
      <c r="D17" s="14">
        <f>IFERROR(SUMIFS(Raw_IFRS17!$D:$D,Raw_IFRS17!$F:$F,$I17,Raw_IFRS17!$G:$G,"Y"),0)</f>
        <v/>
      </c>
      <c r="E17" s="14">
        <f>IFERROR(SUMIFS(Raw_IFRS17!$E:$E,Raw_IFRS17!$F:$F,$I17,Raw_IFRS17!$G:$G,"Y"),0)</f>
        <v/>
      </c>
      <c r="F17" s="15">
        <f>IFERROR((C17/D17)-1,"")</f>
        <v/>
      </c>
      <c r="G17" s="11" t="n"/>
      <c r="H17" s="11">
        <f>IF(OR(C17=0,C17=""),"Review / optional","OK")</f>
        <v/>
      </c>
      <c r="I17" s="11" t="inlineStr">
        <is>
          <t>I17_LIC</t>
        </is>
      </c>
    </row>
    <row r="18">
      <c r="A18" s="13" t="inlineStr">
        <is>
          <t>Posisi keuangan</t>
        </is>
      </c>
      <c r="B18" s="13" t="inlineStr">
        <is>
          <t>Loss component</t>
        </is>
      </c>
      <c r="C18" s="14">
        <f>IFERROR(SUMIFS(Raw_IFRS17!$C:$C,Raw_IFRS17!$F:$F,$I18,Raw_IFRS17!$G:$G,"Y"),0)</f>
        <v/>
      </c>
      <c r="D18" s="14">
        <f>IFERROR(SUMIFS(Raw_IFRS17!$D:$D,Raw_IFRS17!$F:$F,$I18,Raw_IFRS17!$G:$G,"Y"),0)</f>
        <v/>
      </c>
      <c r="E18" s="14">
        <f>IFERROR(SUMIFS(Raw_IFRS17!$E:$E,Raw_IFRS17!$F:$F,$I18,Raw_IFRS17!$G:$G,"Y"),0)</f>
        <v/>
      </c>
      <c r="F18" s="15">
        <f>IFERROR((C18/D18)-1,"")</f>
        <v/>
      </c>
      <c r="G18" s="11" t="n"/>
      <c r="H18" s="11">
        <f>IF(OR(C18=0,C18=""),"Review / optional","OK")</f>
        <v/>
      </c>
      <c r="I18" s="11" t="inlineStr">
        <is>
          <t>I17_LOSSCOMP</t>
        </is>
      </c>
    </row>
    <row r="19">
      <c r="A19" s="13" t="inlineStr">
        <is>
          <t>Posisi keuangan</t>
        </is>
      </c>
      <c r="B19" s="13" t="inlineStr">
        <is>
          <t>Risk adjustment for non-financial risk</t>
        </is>
      </c>
      <c r="C19" s="14">
        <f>IFERROR(SUMIFS(Raw_IFRS17!$C:$C,Raw_IFRS17!$F:$F,$I19,Raw_IFRS17!$G:$G,"Y"),0)</f>
        <v/>
      </c>
      <c r="D19" s="14">
        <f>IFERROR(SUMIFS(Raw_IFRS17!$D:$D,Raw_IFRS17!$F:$F,$I19,Raw_IFRS17!$G:$G,"Y"),0)</f>
        <v/>
      </c>
      <c r="E19" s="14">
        <f>IFERROR(SUMIFS(Raw_IFRS17!$E:$E,Raw_IFRS17!$F:$F,$I19,Raw_IFRS17!$G:$G,"Y"),0)</f>
        <v/>
      </c>
      <c r="F19" s="15">
        <f>IFERROR((C19/D19)-1,"")</f>
        <v/>
      </c>
      <c r="G19" s="11" t="n"/>
      <c r="H19" s="11">
        <f>IF(OR(C19=0,C19=""),"Review / optional","OK")</f>
        <v/>
      </c>
      <c r="I19" s="11" t="inlineStr">
        <is>
          <t>I17_RA</t>
        </is>
      </c>
    </row>
    <row r="20">
      <c r="A20" s="13" t="inlineStr">
        <is>
          <t>CSM</t>
        </is>
      </c>
      <c r="B20" s="13" t="inlineStr">
        <is>
          <t>Opening CSM</t>
        </is>
      </c>
      <c r="C20" s="14">
        <f>IFERROR(SUMIFS(Raw_IFRS17!$C:$C,Raw_IFRS17!$F:$F,$I20,Raw_IFRS17!$G:$G,"Y"),0)</f>
        <v/>
      </c>
      <c r="D20" s="14">
        <f>IFERROR(SUMIFS(Raw_IFRS17!$D:$D,Raw_IFRS17!$F:$F,$I20,Raw_IFRS17!$G:$G,"Y"),0)</f>
        <v/>
      </c>
      <c r="E20" s="14">
        <f>IFERROR(SUMIFS(Raw_IFRS17!$E:$E,Raw_IFRS17!$F:$F,$I20,Raw_IFRS17!$G:$G,"Y"),0)</f>
        <v/>
      </c>
      <c r="F20" s="15">
        <f>IFERROR((C20/D20)-1,"")</f>
        <v/>
      </c>
      <c r="G20" s="11" t="n"/>
      <c r="H20" s="11">
        <f>IF(OR(C20=0,C20=""),"Review / optional","OK")</f>
        <v/>
      </c>
      <c r="I20" s="11" t="inlineStr">
        <is>
          <t>I17_CSM_OPEN</t>
        </is>
      </c>
    </row>
    <row r="21">
      <c r="A21" s="13" t="inlineStr">
        <is>
          <t>CSM</t>
        </is>
      </c>
      <c r="B21" s="13" t="inlineStr">
        <is>
          <t>New business / contracts issued</t>
        </is>
      </c>
      <c r="C21" s="14">
        <f>IFERROR(SUMIFS(Raw_IFRS17!$C:$C,Raw_IFRS17!$F:$F,$I21,Raw_IFRS17!$G:$G,"Y"),0)</f>
        <v/>
      </c>
      <c r="D21" s="14">
        <f>IFERROR(SUMIFS(Raw_IFRS17!$D:$D,Raw_IFRS17!$F:$F,$I21,Raw_IFRS17!$G:$G,"Y"),0)</f>
        <v/>
      </c>
      <c r="E21" s="14">
        <f>IFERROR(SUMIFS(Raw_IFRS17!$E:$E,Raw_IFRS17!$F:$F,$I21,Raw_IFRS17!$G:$G,"Y"),0)</f>
        <v/>
      </c>
      <c r="F21" s="15">
        <f>IFERROR((C21/D21)-1,"")</f>
        <v/>
      </c>
      <c r="G21" s="11" t="n"/>
      <c r="H21" s="11">
        <f>IF(OR(C21=0,C21=""),"Review / optional","OK")</f>
        <v/>
      </c>
      <c r="I21" s="11" t="inlineStr">
        <is>
          <t>I17_CSM_NEW</t>
        </is>
      </c>
    </row>
    <row r="22">
      <c r="A22" s="13" t="inlineStr">
        <is>
          <t>CSM</t>
        </is>
      </c>
      <c r="B22" s="13" t="inlineStr">
        <is>
          <t>Interest accretion on CSM</t>
        </is>
      </c>
      <c r="C22" s="14">
        <f>IFERROR(SUMIFS(Raw_IFRS17!$C:$C,Raw_IFRS17!$F:$F,$I22,Raw_IFRS17!$G:$G,"Y"),0)</f>
        <v/>
      </c>
      <c r="D22" s="14">
        <f>IFERROR(SUMIFS(Raw_IFRS17!$D:$D,Raw_IFRS17!$F:$F,$I22,Raw_IFRS17!$G:$G,"Y"),0)</f>
        <v/>
      </c>
      <c r="E22" s="14">
        <f>IFERROR(SUMIFS(Raw_IFRS17!$E:$E,Raw_IFRS17!$F:$F,$I22,Raw_IFRS17!$G:$G,"Y"),0)</f>
        <v/>
      </c>
      <c r="F22" s="15">
        <f>IFERROR((C22/D22)-1,"")</f>
        <v/>
      </c>
      <c r="G22" s="11" t="n"/>
      <c r="H22" s="11">
        <f>IF(OR(C22=0,C22=""),"Review / optional","OK")</f>
        <v/>
      </c>
      <c r="I22" s="11" t="inlineStr">
        <is>
          <t>I17_CSM_ACC</t>
        </is>
      </c>
    </row>
    <row r="23">
      <c r="A23" s="13" t="inlineStr">
        <is>
          <t>CSM</t>
        </is>
      </c>
      <c r="B23" s="13" t="inlineStr">
        <is>
          <t>Changes related to future service</t>
        </is>
      </c>
      <c r="C23" s="14">
        <f>IFERROR(SUMIFS(Raw_IFRS17!$C:$C,Raw_IFRS17!$F:$F,$I23,Raw_IFRS17!$G:$G,"Y"),0)</f>
        <v/>
      </c>
      <c r="D23" s="14">
        <f>IFERROR(SUMIFS(Raw_IFRS17!$D:$D,Raw_IFRS17!$F:$F,$I23,Raw_IFRS17!$G:$G,"Y"),0)</f>
        <v/>
      </c>
      <c r="E23" s="14">
        <f>IFERROR(SUMIFS(Raw_IFRS17!$E:$E,Raw_IFRS17!$F:$F,$I23,Raw_IFRS17!$G:$G,"Y"),0)</f>
        <v/>
      </c>
      <c r="F23" s="15">
        <f>IFERROR((C23/D23)-1,"")</f>
        <v/>
      </c>
      <c r="G23" s="11" t="n"/>
      <c r="H23" s="11">
        <f>IF(OR(C23=0,C23=""),"Review / optional","OK")</f>
        <v/>
      </c>
      <c r="I23" s="11" t="inlineStr">
        <is>
          <t>I17_CSM_FUT</t>
        </is>
      </c>
    </row>
    <row r="24">
      <c r="A24" s="13" t="inlineStr">
        <is>
          <t>CSM</t>
        </is>
      </c>
      <c r="B24" s="13" t="inlineStr">
        <is>
          <t>CSM recognised for services provided</t>
        </is>
      </c>
      <c r="C24" s="14">
        <f>IFERROR(SUMIFS(Raw_IFRS17!$C:$C,Raw_IFRS17!$F:$F,$I24,Raw_IFRS17!$G:$G,"Y"),0)</f>
        <v/>
      </c>
      <c r="D24" s="14">
        <f>IFERROR(SUMIFS(Raw_IFRS17!$D:$D,Raw_IFRS17!$F:$F,$I24,Raw_IFRS17!$G:$G,"Y"),0)</f>
        <v/>
      </c>
      <c r="E24" s="14">
        <f>IFERROR(SUMIFS(Raw_IFRS17!$E:$E,Raw_IFRS17!$F:$F,$I24,Raw_IFRS17!$G:$G,"Y"),0)</f>
        <v/>
      </c>
      <c r="F24" s="15">
        <f>IFERROR((C24/D24)-1,"")</f>
        <v/>
      </c>
      <c r="G24" s="11" t="n"/>
      <c r="H24" s="11">
        <f>IF(OR(C24=0,C24=""),"Review / optional","OK")</f>
        <v/>
      </c>
      <c r="I24" s="11" t="inlineStr">
        <is>
          <t>I17_CSM_SERV</t>
        </is>
      </c>
    </row>
    <row r="25">
      <c r="A25" s="13" t="inlineStr">
        <is>
          <t>CSM</t>
        </is>
      </c>
      <c r="B25" s="13" t="inlineStr">
        <is>
          <t>FX and other movements</t>
        </is>
      </c>
      <c r="C25" s="14">
        <f>IFERROR(SUMIFS(Raw_IFRS17!$C:$C,Raw_IFRS17!$F:$F,$I25,Raw_IFRS17!$G:$G,"Y"),0)</f>
        <v/>
      </c>
      <c r="D25" s="14">
        <f>IFERROR(SUMIFS(Raw_IFRS17!$D:$D,Raw_IFRS17!$F:$F,$I25,Raw_IFRS17!$G:$G,"Y"),0)</f>
        <v/>
      </c>
      <c r="E25" s="14">
        <f>IFERROR(SUMIFS(Raw_IFRS17!$E:$E,Raw_IFRS17!$F:$F,$I25,Raw_IFRS17!$G:$G,"Y"),0)</f>
        <v/>
      </c>
      <c r="F25" s="15">
        <f>IFERROR((C25/D25)-1,"")</f>
        <v/>
      </c>
      <c r="G25" s="11" t="n"/>
      <c r="H25" s="11">
        <f>IF(OR(C25=0,C25=""),"Review / optional","OK")</f>
        <v/>
      </c>
      <c r="I25" s="11" t="inlineStr">
        <is>
          <t>I17_CSM_OTHER</t>
        </is>
      </c>
    </row>
    <row r="26">
      <c r="A26" s="16" t="inlineStr">
        <is>
          <t>CSM</t>
        </is>
      </c>
      <c r="B26" s="16" t="inlineStr">
        <is>
          <t>CLOSING CSM</t>
        </is>
      </c>
      <c r="C26" s="17">
        <f>IF(SUM(C20:C25)=0,"",C20+C21+C22+C23-C24+C25)</f>
        <v/>
      </c>
      <c r="D26" s="17">
        <f>IF(SUM(D20:D25)=0,"",D20+D21+D22+D23-D24+D25)</f>
        <v/>
      </c>
      <c r="E26" s="17">
        <f>IF(SUM(E20:E25)=0,"",E20+E21+E22+E23-E24+E25)</f>
        <v/>
      </c>
      <c r="F26" s="18">
        <f>IFERROR((C26/D26)-1,"")</f>
        <v/>
      </c>
      <c r="G26" s="19" t="inlineStr">
        <is>
          <t>V5: closing CSM = opening + new + interest + future service changes - CSM recognised + other.</t>
        </is>
      </c>
      <c r="H26" s="19" t="inlineStr"/>
      <c r="I26" s="11" t="inlineStr"/>
    </row>
    <row r="27">
      <c r="A27" s="13" t="inlineStr">
        <is>
          <t>Operasional</t>
        </is>
      </c>
      <c r="B27" s="13" t="inlineStr">
        <is>
          <t>Insurance acquisition cash flow asset</t>
        </is>
      </c>
      <c r="C27" s="14">
        <f>IFERROR(SUMIFS(Raw_IFRS17!$C:$C,Raw_IFRS17!$F:$F,$I27,Raw_IFRS17!$G:$G,"Y"),0)</f>
        <v/>
      </c>
      <c r="D27" s="14">
        <f>IFERROR(SUMIFS(Raw_IFRS17!$D:$D,Raw_IFRS17!$F:$F,$I27,Raw_IFRS17!$G:$G,"Y"),0)</f>
        <v/>
      </c>
      <c r="E27" s="14">
        <f>IFERROR(SUMIFS(Raw_IFRS17!$E:$E,Raw_IFRS17!$F:$F,$I27,Raw_IFRS17!$G:$G,"Y"),0)</f>
        <v/>
      </c>
      <c r="F27" s="15">
        <f>IFERROR((C27/D27)-1,"")</f>
        <v/>
      </c>
      <c r="G27" s="11" t="n"/>
      <c r="H27" s="11">
        <f>IF(OR(C27=0,C27=""),"Review / optional","OK")</f>
        <v/>
      </c>
      <c r="I27" s="11" t="inlineStr">
        <is>
          <t>I17_ACQASSET</t>
        </is>
      </c>
    </row>
    <row r="28">
      <c r="A28" s="13" t="inlineStr">
        <is>
          <t>Operasional</t>
        </is>
      </c>
      <c r="B28" s="13" t="inlineStr">
        <is>
          <t>Policies in force / coverage units</t>
        </is>
      </c>
      <c r="C28" s="14">
        <f>IFERROR(SUMIFS(Raw_IFRS17!$C:$C,Raw_IFRS17!$F:$F,$I28,Raw_IFRS17!$G:$G,"Y"),0)</f>
        <v/>
      </c>
      <c r="D28" s="14">
        <f>IFERROR(SUMIFS(Raw_IFRS17!$D:$D,Raw_IFRS17!$F:$F,$I28,Raw_IFRS17!$G:$G,"Y"),0)</f>
        <v/>
      </c>
      <c r="E28" s="14">
        <f>IFERROR(SUMIFS(Raw_IFRS17!$E:$E,Raw_IFRS17!$F:$F,$I28,Raw_IFRS17!$G:$G,"Y"),0)</f>
        <v/>
      </c>
      <c r="F28" s="15">
        <f>IFERROR((C28/D28)-1,"")</f>
        <v/>
      </c>
      <c r="G28" s="11" t="n"/>
      <c r="H28" s="11">
        <f>IF(OR(C28=0,C28=""),"Review / optional","OK")</f>
        <v/>
      </c>
      <c r="I28" s="11" t="inlineStr">
        <is>
          <t>I17_COV_UNITS</t>
        </is>
      </c>
    </row>
    <row r="29">
      <c r="A29" s="13" t="inlineStr">
        <is>
          <t>Operasional</t>
        </is>
      </c>
      <c r="B29" s="13" t="inlineStr">
        <is>
          <t>New business APE / new premiums</t>
        </is>
      </c>
      <c r="C29" s="14">
        <f>IFERROR(SUMIFS(Raw_IFRS17!$C:$C,Raw_IFRS17!$F:$F,$I29,Raw_IFRS17!$G:$G,"Y"),0)</f>
        <v/>
      </c>
      <c r="D29" s="14">
        <f>IFERROR(SUMIFS(Raw_IFRS17!$D:$D,Raw_IFRS17!$F:$F,$I29,Raw_IFRS17!$G:$G,"Y"),0)</f>
        <v/>
      </c>
      <c r="E29" s="14">
        <f>IFERROR(SUMIFS(Raw_IFRS17!$E:$E,Raw_IFRS17!$F:$F,$I29,Raw_IFRS17!$G:$G,"Y"),0)</f>
        <v/>
      </c>
      <c r="F29" s="15">
        <f>IFERROR((C29/D29)-1,"")</f>
        <v/>
      </c>
      <c r="G29" s="11" t="n"/>
      <c r="H29" s="11">
        <f>IF(OR(C29=0,C29=""),"Review / optional","OK")</f>
        <v/>
      </c>
      <c r="I29" s="11" t="inlineStr">
        <is>
          <t>I17_NEWBUS</t>
        </is>
      </c>
    </row>
    <row r="30">
      <c r="A30" s="16" t="inlineStr">
        <is>
          <t>Operasional</t>
        </is>
      </c>
      <c r="B30" s="16" t="inlineStr">
        <is>
          <t>Claim ratio (if disclosed)</t>
        </is>
      </c>
      <c r="C30" s="17">
        <f>IFERROR(SUMIFS(Raw_IFRS17!$C:$C,Raw_IFRS17!$F:$F,$I30,Raw_IFRS17!$G:$G,"Y"),0)</f>
        <v/>
      </c>
      <c r="D30" s="17">
        <f>IFERROR(SUMIFS(Raw_IFRS17!$D:$D,Raw_IFRS17!$F:$F,$I30,Raw_IFRS17!$G:$G,"Y"),0)</f>
        <v/>
      </c>
      <c r="E30" s="17">
        <f>IFERROR(SUMIFS(Raw_IFRS17!$E:$E,Raw_IFRS17!$F:$F,$I30,Raw_IFRS17!$G:$G,"Y"),0)</f>
        <v/>
      </c>
      <c r="F30" s="18">
        <f>IFERROR((C30/D30)-1,"")</f>
        <v/>
      </c>
      <c r="G30" s="19" t="n"/>
      <c r="H30" s="19">
        <f>IF(OR(C30=0,C30=""),"Review / optional","OK")</f>
        <v/>
      </c>
      <c r="I30" s="11" t="inlineStr">
        <is>
          <t>I17_CLAIM_RATIO</t>
        </is>
      </c>
    </row>
    <row r="31">
      <c r="A31" s="16" t="inlineStr">
        <is>
          <t>Operasional</t>
        </is>
      </c>
      <c r="B31" s="16" t="inlineStr">
        <is>
          <t>Reinsurance cession ratio (if disclosed)</t>
        </is>
      </c>
      <c r="C31" s="18">
        <f>IF(COUNTIFS(Raw_IFRS17!$F:$F,$I31,Raw_IFRS17!$G:$G,"Y")&gt;0,SUMIFS(Raw_IFRS17!$C:$C,Raw_IFRS17!$F:$F,$I31,Raw_IFRS17!$G:$G,"Y"),IFERROR(C14/C13,0))</f>
        <v/>
      </c>
      <c r="D31" s="18">
        <f>IF(COUNTIFS(Raw_IFRS17!$F:$F,$I31,Raw_IFRS17!$G:$G,"Y")&gt;0,SUMIFS(Raw_IFRS17!$D:$D,Raw_IFRS17!$F:$F,$I31,Raw_IFRS17!$G:$G,"Y"),IFERROR(D14/D13,0))</f>
        <v/>
      </c>
      <c r="E31" s="18">
        <f>IF(COUNTIFS(Raw_IFRS17!$F:$F,$I31,Raw_IFRS17!$G:$G,"Y")&gt;0,SUMIFS(Raw_IFRS17!$E:$E,Raw_IFRS17!$F:$F,$I31,Raw_IFRS17!$G:$G,"Y"),IFERROR(E14/E13,0))</f>
        <v/>
      </c>
      <c r="F31" s="18">
        <f>IFERROR((C31/D31)-1,"")</f>
        <v/>
      </c>
      <c r="G31" s="19" t="n"/>
      <c r="H31" s="19">
        <f>IF(OR(C31=0,C31=""),"Review / optional","OK")</f>
        <v/>
      </c>
      <c r="I31" s="11" t="inlineStr">
        <is>
          <t>I17_CESSION</t>
        </is>
      </c>
    </row>
    <row r="32">
      <c r="A32" s="13" t="inlineStr">
        <is>
          <t>Operasional</t>
        </is>
      </c>
      <c r="B32" s="13" t="inlineStr">
        <is>
          <t>Discount rate / locked-in rate (avg)</t>
        </is>
      </c>
      <c r="C32" s="20">
        <f>IF(C29&lt;&gt;"",C29,IFERROR(ABS(C4)/C3,""))</f>
        <v/>
      </c>
      <c r="D32" s="20">
        <f>IF(D29&lt;&gt;"",D29,IFERROR(ABS(D4)/D3,""))</f>
        <v/>
      </c>
      <c r="E32" s="20">
        <f>IF(E29&lt;&gt;"",E29,IFERROR(ABS(E4)/E3,""))</f>
        <v/>
      </c>
      <c r="F32" s="15">
        <f>IFERROR((C32/D32)-1,"")</f>
        <v/>
      </c>
      <c r="G32" s="11" t="n"/>
      <c r="H32" s="11">
        <f>IF(OR(C32=0,C32=""),"Review / optional","OK")</f>
        <v/>
      </c>
      <c r="I32" s="11" t="inlineStr">
        <is>
          <t>I17_DISC_RATE</t>
        </is>
      </c>
    </row>
    <row r="33">
      <c r="A33" s="13" t="inlineStr">
        <is>
          <t>Rasio bantu</t>
        </is>
      </c>
      <c r="B33" s="13" t="inlineStr">
        <is>
          <t>CSM / equity</t>
        </is>
      </c>
      <c r="C33" s="14">
        <f>IFERROR(IF(Input_SFP!C34&gt;0,C26/Input_SFP!C34,""),"")</f>
        <v/>
      </c>
      <c r="D33" s="14">
        <f>IFERROR(IF(Input_SFP!D34&gt;0,D26/Input_SFP!D34,""),"")</f>
        <v/>
      </c>
      <c r="E33" s="14">
        <f>IFERROR(IF(Input_SFP!E34&gt;0,E26/Input_SFP!E34,""),"")</f>
        <v/>
      </c>
      <c r="F33" s="15">
        <f>IFERROR((C33/D33)-1,"")</f>
        <v/>
      </c>
      <c r="G33" s="11" t="n"/>
      <c r="H33" s="11" t="inlineStr"/>
      <c r="I33" s="11" t="inlineStr"/>
    </row>
    <row r="34">
      <c r="A34" s="16" t="inlineStr">
        <is>
          <t>Rasio bantu</t>
        </is>
      </c>
      <c r="B34" s="16" t="inlineStr">
        <is>
          <t>Claim ratio (derived if blank)</t>
        </is>
      </c>
      <c r="C34" s="17">
        <f>IFERROR(IF(C30&gt;0,C30,IF(C3&gt;0,ABS(C4)/ABS(C3),"")),"")</f>
        <v/>
      </c>
      <c r="D34" s="17">
        <f>IFERROR(IF(D30&gt;0,D30,IF(D3&gt;0,ABS(D4)/ABS(D3),"")),"")</f>
        <v/>
      </c>
      <c r="E34" s="17">
        <f>IFERROR(IF(E30&gt;0,E30,IF(E3&gt;0,ABS(E4)/ABS(E3),"")),"")</f>
        <v/>
      </c>
      <c r="F34" s="18">
        <f>IFERROR((C34/D34)-1,"")</f>
        <v/>
      </c>
      <c r="G34" s="19" t="n"/>
      <c r="H34" s="19" t="inlineStr"/>
      <c r="I34" s="11" t="inlineStr"/>
    </row>
  </sheetData>
  <mergeCells count="1">
    <mergeCell ref="A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56" customWidth="1" min="2" max="2"/>
    <col width="16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  <col hidden="1" width="14" customWidth="1" min="9" max="9"/>
  </cols>
  <sheetData>
    <row r="1" ht="24" customHeight="1">
      <c r="A1" s="10" t="inlineStr">
        <is>
          <t>INPUT DETAIL IFRS 9 / PSAK 109</t>
        </is>
      </c>
    </row>
    <row r="2">
      <c r="A2" s="12" t="inlineStr">
        <is>
          <t>Kelompok</t>
        </is>
      </c>
      <c r="B2" s="12" t="inlineStr">
        <is>
          <t>Akun standar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Growth vs PY</t>
        </is>
      </c>
      <c r="G2" s="12" t="inlineStr">
        <is>
          <t>Ratio / note</t>
        </is>
      </c>
      <c r="H2" s="12" t="inlineStr">
        <is>
          <t>Status</t>
        </is>
      </c>
      <c r="I2" s="12" t="inlineStr">
        <is>
          <t>Mapping code</t>
        </is>
      </c>
    </row>
    <row r="3">
      <c r="A3" s="13" t="inlineStr">
        <is>
          <t>Aset keuangan</t>
        </is>
      </c>
      <c r="B3" s="13" t="inlineStr">
        <is>
          <t>FVTPL carrying amount</t>
        </is>
      </c>
      <c r="C3" s="14">
        <f>IFERROR(SUMIFS(Raw_IFRS9!$C:$C,Raw_IFRS9!$F:$F,$I3,Raw_IFRS9!$G:$G,"Y"),0)</f>
        <v/>
      </c>
      <c r="D3" s="14">
        <f>IFERROR(SUMIFS(Raw_IFRS9!$D:$D,Raw_IFRS9!$F:$F,$I3,Raw_IFRS9!$G:$G,"Y"),0)</f>
        <v/>
      </c>
      <c r="E3" s="14">
        <f>IFERROR(SUMIFS(Raw_IFRS9!$E:$E,Raw_IFRS9!$F:$F,$I3,Raw_IFRS9!$G:$G,"Y"),0)</f>
        <v/>
      </c>
      <c r="F3" s="15">
        <f>IFERROR((C3/D3)-1,"")</f>
        <v/>
      </c>
      <c r="G3" s="11" t="n"/>
      <c r="H3" s="11">
        <f>IF(OR(C3=0,C3=""),"Review / optional","OK")</f>
        <v/>
      </c>
      <c r="I3" s="11" t="inlineStr">
        <is>
          <t>I9_FVTPL</t>
        </is>
      </c>
    </row>
    <row r="4">
      <c r="A4" s="13" t="inlineStr">
        <is>
          <t>Aset keuangan</t>
        </is>
      </c>
      <c r="B4" s="13" t="inlineStr">
        <is>
          <t>FVOCI debt instruments carrying amount</t>
        </is>
      </c>
      <c r="C4" s="14">
        <f>IFERROR(SUMIFS(Raw_IFRS9!$C:$C,Raw_IFRS9!$F:$F,$I4,Raw_IFRS9!$G:$G,"Y"),0)</f>
        <v/>
      </c>
      <c r="D4" s="14">
        <f>IFERROR(SUMIFS(Raw_IFRS9!$D:$D,Raw_IFRS9!$F:$F,$I4,Raw_IFRS9!$G:$G,"Y"),0)</f>
        <v/>
      </c>
      <c r="E4" s="14">
        <f>IFERROR(SUMIFS(Raw_IFRS9!$E:$E,Raw_IFRS9!$F:$F,$I4,Raw_IFRS9!$G:$G,"Y"),0)</f>
        <v/>
      </c>
      <c r="F4" s="15">
        <f>IFERROR((C4/D4)-1,"")</f>
        <v/>
      </c>
      <c r="G4" s="11" t="n"/>
      <c r="H4" s="11">
        <f>IF(OR(C4=0,C4=""),"Review / optional","OK")</f>
        <v/>
      </c>
      <c r="I4" s="11" t="inlineStr">
        <is>
          <t>I9_FVOCI_DEBT</t>
        </is>
      </c>
    </row>
    <row r="5">
      <c r="A5" s="13" t="inlineStr">
        <is>
          <t>Aset keuangan</t>
        </is>
      </c>
      <c r="B5" s="13" t="inlineStr">
        <is>
          <t>FVOCI equity instruments carrying amount</t>
        </is>
      </c>
      <c r="C5" s="14">
        <f>IFERROR(SUMIFS(Raw_IFRS9!$C:$C,Raw_IFRS9!$F:$F,$I5,Raw_IFRS9!$G:$G,"Y"),0)</f>
        <v/>
      </c>
      <c r="D5" s="14">
        <f>IFERROR(SUMIFS(Raw_IFRS9!$D:$D,Raw_IFRS9!$F:$F,$I5,Raw_IFRS9!$G:$G,"Y"),0)</f>
        <v/>
      </c>
      <c r="E5" s="14">
        <f>IFERROR(SUMIFS(Raw_IFRS9!$E:$E,Raw_IFRS9!$F:$F,$I5,Raw_IFRS9!$G:$G,"Y"),0)</f>
        <v/>
      </c>
      <c r="F5" s="15">
        <f>IFERROR((C5/D5)-1,"")</f>
        <v/>
      </c>
      <c r="G5" s="11" t="n"/>
      <c r="H5" s="11">
        <f>IF(OR(C5=0,C5=""),"Review / optional","OK")</f>
        <v/>
      </c>
      <c r="I5" s="11" t="inlineStr">
        <is>
          <t>I9_FVOCI_EQ</t>
        </is>
      </c>
    </row>
    <row r="6">
      <c r="A6" s="13" t="inlineStr">
        <is>
          <t>Aset keuangan</t>
        </is>
      </c>
      <c r="B6" s="13" t="inlineStr">
        <is>
          <t>Amortised cost debt instruments carrying amount</t>
        </is>
      </c>
      <c r="C6" s="14">
        <f>IFERROR(SUMIFS(Raw_IFRS9!$C:$C,Raw_IFRS9!$F:$F,$I6,Raw_IFRS9!$G:$G,"Y"),0)</f>
        <v/>
      </c>
      <c r="D6" s="14">
        <f>IFERROR(SUMIFS(Raw_IFRS9!$D:$D,Raw_IFRS9!$F:$F,$I6,Raw_IFRS9!$G:$G,"Y"),0)</f>
        <v/>
      </c>
      <c r="E6" s="14">
        <f>IFERROR(SUMIFS(Raw_IFRS9!$E:$E,Raw_IFRS9!$F:$F,$I6,Raw_IFRS9!$G:$G,"Y"),0)</f>
        <v/>
      </c>
      <c r="F6" s="15">
        <f>IFERROR((C6/D6)-1,"")</f>
        <v/>
      </c>
      <c r="G6" s="11" t="n"/>
      <c r="H6" s="11">
        <f>IF(OR(C6=0,C6=""),"Review / optional","OK")</f>
        <v/>
      </c>
      <c r="I6" s="11" t="inlineStr">
        <is>
          <t>I9_AC_DEBT</t>
        </is>
      </c>
    </row>
    <row r="7">
      <c r="A7" s="13" t="inlineStr">
        <is>
          <t>Aset keuangan</t>
        </is>
      </c>
      <c r="B7" s="13" t="inlineStr">
        <is>
          <t>Loans and receivables carrying amount</t>
        </is>
      </c>
      <c r="C7" s="14">
        <f>IFERROR(SUMIFS(Raw_IFRS9!$C:$C,Raw_IFRS9!$F:$F,$I7,Raw_IFRS9!$G:$G,"Y"),0)</f>
        <v/>
      </c>
      <c r="D7" s="14">
        <f>IFERROR(SUMIFS(Raw_IFRS9!$D:$D,Raw_IFRS9!$F:$F,$I7,Raw_IFRS9!$G:$G,"Y"),0)</f>
        <v/>
      </c>
      <c r="E7" s="14">
        <f>IFERROR(SUMIFS(Raw_IFRS9!$E:$E,Raw_IFRS9!$F:$F,$I7,Raw_IFRS9!$G:$G,"Y"),0)</f>
        <v/>
      </c>
      <c r="F7" s="15">
        <f>IFERROR((C7/D7)-1,"")</f>
        <v/>
      </c>
      <c r="G7" s="11" t="n"/>
      <c r="H7" s="11">
        <f>IF(OR(C7=0,C7=""),"Review / optional","OK")</f>
        <v/>
      </c>
      <c r="I7" s="11" t="inlineStr">
        <is>
          <t>I9_LOANS</t>
        </is>
      </c>
    </row>
    <row r="8">
      <c r="A8" s="16" t="inlineStr">
        <is>
          <t>ECL</t>
        </is>
      </c>
      <c r="B8" s="16" t="inlineStr">
        <is>
          <t>TOTAL financial assets subject to ECL</t>
        </is>
      </c>
      <c r="C8" s="17">
        <f>SUM(C9:C11)</f>
        <v/>
      </c>
      <c r="D8" s="17">
        <f>SUM(D9:D11)</f>
        <v/>
      </c>
      <c r="E8" s="17">
        <f>SUM(E9:E11)</f>
        <v/>
      </c>
      <c r="F8" s="18">
        <f>IFERROR((C8/D8)-1,"")</f>
        <v/>
      </c>
      <c r="G8" s="19" t="n"/>
      <c r="H8" s="19" t="inlineStr"/>
      <c r="I8" s="11" t="inlineStr"/>
    </row>
    <row r="9">
      <c r="A9" s="13" t="inlineStr">
        <is>
          <t>ECL</t>
        </is>
      </c>
      <c r="B9" s="13" t="inlineStr">
        <is>
          <t>Stage 1 gross exposure</t>
        </is>
      </c>
      <c r="C9" s="14">
        <f>IFERROR(SUMIFS(Raw_IFRS9!$C:$C,Raw_IFRS9!$F:$F,$I9,Raw_IFRS9!$G:$G,"Y"),0)</f>
        <v/>
      </c>
      <c r="D9" s="14">
        <f>IFERROR(SUMIFS(Raw_IFRS9!$D:$D,Raw_IFRS9!$F:$F,$I9,Raw_IFRS9!$G:$G,"Y"),0)</f>
        <v/>
      </c>
      <c r="E9" s="14">
        <f>IFERROR(SUMIFS(Raw_IFRS9!$E:$E,Raw_IFRS9!$F:$F,$I9,Raw_IFRS9!$G:$G,"Y"),0)</f>
        <v/>
      </c>
      <c r="F9" s="15">
        <f>IFERROR((C9/D9)-1,"")</f>
        <v/>
      </c>
      <c r="G9" s="11" t="n"/>
      <c r="H9" s="11">
        <f>IF(OR(C9=0,C9=""),"Review / optional","OK")</f>
        <v/>
      </c>
      <c r="I9" s="11" t="inlineStr">
        <is>
          <t>I9_STAGE1_EXP</t>
        </is>
      </c>
    </row>
    <row r="10">
      <c r="A10" s="13" t="inlineStr">
        <is>
          <t>ECL</t>
        </is>
      </c>
      <c r="B10" s="13" t="inlineStr">
        <is>
          <t>Stage 2 gross exposure</t>
        </is>
      </c>
      <c r="C10" s="14">
        <f>IFERROR(SUMIFS(Raw_IFRS9!$C:$C,Raw_IFRS9!$F:$F,$I10,Raw_IFRS9!$G:$G,"Y"),0)</f>
        <v/>
      </c>
      <c r="D10" s="14">
        <f>IFERROR(SUMIFS(Raw_IFRS9!$D:$D,Raw_IFRS9!$F:$F,$I10,Raw_IFRS9!$G:$G,"Y"),0)</f>
        <v/>
      </c>
      <c r="E10" s="14">
        <f>IFERROR(SUMIFS(Raw_IFRS9!$E:$E,Raw_IFRS9!$F:$F,$I10,Raw_IFRS9!$G:$G,"Y"),0)</f>
        <v/>
      </c>
      <c r="F10" s="15">
        <f>IFERROR((C10/D10)-1,"")</f>
        <v/>
      </c>
      <c r="G10" s="11" t="n"/>
      <c r="H10" s="11">
        <f>IF(OR(C10=0,C10=""),"Review / optional","OK")</f>
        <v/>
      </c>
      <c r="I10" s="11" t="inlineStr">
        <is>
          <t>I9_STAGE2_EXP</t>
        </is>
      </c>
    </row>
    <row r="11">
      <c r="A11" s="13" t="inlineStr">
        <is>
          <t>ECL</t>
        </is>
      </c>
      <c r="B11" s="13" t="inlineStr">
        <is>
          <t>Stage 3 gross exposure</t>
        </is>
      </c>
      <c r="C11" s="14">
        <f>IFERROR(SUMIFS(Raw_IFRS9!$C:$C,Raw_IFRS9!$F:$F,$I11,Raw_IFRS9!$G:$G,"Y"),0)</f>
        <v/>
      </c>
      <c r="D11" s="14">
        <f>IFERROR(SUMIFS(Raw_IFRS9!$D:$D,Raw_IFRS9!$F:$F,$I11,Raw_IFRS9!$G:$G,"Y"),0)</f>
        <v/>
      </c>
      <c r="E11" s="14">
        <f>IFERROR(SUMIFS(Raw_IFRS9!$E:$E,Raw_IFRS9!$F:$F,$I11,Raw_IFRS9!$G:$G,"Y"),0)</f>
        <v/>
      </c>
      <c r="F11" s="15">
        <f>IFERROR((C11/D11)-1,"")</f>
        <v/>
      </c>
      <c r="G11" s="11" t="n"/>
      <c r="H11" s="11">
        <f>IF(OR(C11=0,C11=""),"Review / optional","OK")</f>
        <v/>
      </c>
      <c r="I11" s="11" t="inlineStr">
        <is>
          <t>I9_STAGE3_EXP</t>
        </is>
      </c>
    </row>
    <row r="12">
      <c r="A12" s="13" t="inlineStr">
        <is>
          <t>ECL</t>
        </is>
      </c>
      <c r="B12" s="13" t="inlineStr">
        <is>
          <t>Stage 1 allowance</t>
        </is>
      </c>
      <c r="C12" s="14">
        <f>IFERROR(SUMIFS(Raw_IFRS9!$C:$C,Raw_IFRS9!$F:$F,$I12,Raw_IFRS9!$G:$G,"Y"),0)</f>
        <v/>
      </c>
      <c r="D12" s="14">
        <f>IFERROR(SUMIFS(Raw_IFRS9!$D:$D,Raw_IFRS9!$F:$F,$I12,Raw_IFRS9!$G:$G,"Y"),0)</f>
        <v/>
      </c>
      <c r="E12" s="14">
        <f>IFERROR(SUMIFS(Raw_IFRS9!$E:$E,Raw_IFRS9!$F:$F,$I12,Raw_IFRS9!$G:$G,"Y"),0)</f>
        <v/>
      </c>
      <c r="F12" s="15">
        <f>IFERROR((C12/D12)-1,"")</f>
        <v/>
      </c>
      <c r="G12" s="11" t="n"/>
      <c r="H12" s="11">
        <f>IF(OR(C12=0,C12=""),"Review / optional","OK")</f>
        <v/>
      </c>
      <c r="I12" s="11" t="inlineStr">
        <is>
          <t>I9_STAGE1_ALL</t>
        </is>
      </c>
    </row>
    <row r="13">
      <c r="A13" s="13" t="inlineStr">
        <is>
          <t>ECL</t>
        </is>
      </c>
      <c r="B13" s="13" t="inlineStr">
        <is>
          <t>Stage 2 allowance</t>
        </is>
      </c>
      <c r="C13" s="14">
        <f>IFERROR(SUMIFS(Raw_IFRS9!$C:$C,Raw_IFRS9!$F:$F,$I13,Raw_IFRS9!$G:$G,"Y"),0)</f>
        <v/>
      </c>
      <c r="D13" s="14">
        <f>IFERROR(SUMIFS(Raw_IFRS9!$D:$D,Raw_IFRS9!$F:$F,$I13,Raw_IFRS9!$G:$G,"Y"),0)</f>
        <v/>
      </c>
      <c r="E13" s="14">
        <f>IFERROR(SUMIFS(Raw_IFRS9!$E:$E,Raw_IFRS9!$F:$F,$I13,Raw_IFRS9!$G:$G,"Y"),0)</f>
        <v/>
      </c>
      <c r="F13" s="15">
        <f>IFERROR((C13/D13)-1,"")</f>
        <v/>
      </c>
      <c r="G13" s="11" t="n"/>
      <c r="H13" s="11">
        <f>IF(OR(C13=0,C13=""),"Review / optional","OK")</f>
        <v/>
      </c>
      <c r="I13" s="11" t="inlineStr">
        <is>
          <t>I9_STAGE2_ALL</t>
        </is>
      </c>
    </row>
    <row r="14">
      <c r="A14" s="13" t="inlineStr">
        <is>
          <t>ECL</t>
        </is>
      </c>
      <c r="B14" s="13" t="inlineStr">
        <is>
          <t>Stage 3 allowance</t>
        </is>
      </c>
      <c r="C14" s="14">
        <f>IFERROR(SUMIFS(Raw_IFRS9!$C:$C,Raw_IFRS9!$F:$F,$I14,Raw_IFRS9!$G:$G,"Y"),0)</f>
        <v/>
      </c>
      <c r="D14" s="14">
        <f>IFERROR(SUMIFS(Raw_IFRS9!$D:$D,Raw_IFRS9!$F:$F,$I14,Raw_IFRS9!$G:$G,"Y"),0)</f>
        <v/>
      </c>
      <c r="E14" s="14">
        <f>IFERROR(SUMIFS(Raw_IFRS9!$E:$E,Raw_IFRS9!$F:$F,$I14,Raw_IFRS9!$G:$G,"Y"),0)</f>
        <v/>
      </c>
      <c r="F14" s="15">
        <f>IFERROR((C14/D14)-1,"")</f>
        <v/>
      </c>
      <c r="G14" s="11" t="n"/>
      <c r="H14" s="11">
        <f>IF(OR(C14=0,C14=""),"Review / optional","OK")</f>
        <v/>
      </c>
      <c r="I14" s="11" t="inlineStr">
        <is>
          <t>I9_STAGE3_ALL</t>
        </is>
      </c>
    </row>
    <row r="15">
      <c r="A15" s="16" t="inlineStr">
        <is>
          <t>ECL</t>
        </is>
      </c>
      <c r="B15" s="16" t="inlineStr">
        <is>
          <t>TOTAL allowance ECL</t>
        </is>
      </c>
      <c r="C15" s="17">
        <f>SUM(C12:C14)</f>
        <v/>
      </c>
      <c r="D15" s="17">
        <f>SUM(D12:D14)</f>
        <v/>
      </c>
      <c r="E15" s="17">
        <f>SUM(E12:E14)</f>
        <v/>
      </c>
      <c r="F15" s="18">
        <f>IFERROR((C15/D15)-1,"")</f>
        <v/>
      </c>
      <c r="G15" s="19" t="n"/>
      <c r="H15" s="19" t="inlineStr"/>
      <c r="I15" s="11" t="inlineStr"/>
    </row>
    <row r="16">
      <c r="A16" s="13" t="inlineStr">
        <is>
          <t>ECL</t>
        </is>
      </c>
      <c r="B16" s="13" t="inlineStr">
        <is>
          <t>Coverage on ECL assets</t>
        </is>
      </c>
      <c r="C16" s="20">
        <f>IFERROR(IF(C8&gt;0,C15/C8,""),"")</f>
        <v/>
      </c>
      <c r="D16" s="20">
        <f>IFERROR(IF(D8&gt;0,D15/D8,""),"")</f>
        <v/>
      </c>
      <c r="E16" s="20">
        <f>IFERROR(IF(E8&gt;0,E15/E8,""),"")</f>
        <v/>
      </c>
      <c r="F16" s="15">
        <f>IFERROR((C16/D16)-1,"")</f>
        <v/>
      </c>
      <c r="G16" s="11" t="n"/>
      <c r="H16" s="11" t="inlineStr"/>
      <c r="I16" s="11" t="inlineStr"/>
    </row>
    <row r="17">
      <c r="A17" s="13" t="inlineStr">
        <is>
          <t>Kualitas aset</t>
        </is>
      </c>
      <c r="B17" s="13" t="inlineStr">
        <is>
          <t>Low credit risk exposure</t>
        </is>
      </c>
      <c r="C17" s="14">
        <f>IFERROR(SUMIFS(Raw_IFRS9!$C:$C,Raw_IFRS9!$F:$F,$I17,Raw_IFRS9!$G:$G,"Y"),0)</f>
        <v/>
      </c>
      <c r="D17" s="14">
        <f>IFERROR(SUMIFS(Raw_IFRS9!$D:$D,Raw_IFRS9!$F:$F,$I17,Raw_IFRS9!$G:$G,"Y"),0)</f>
        <v/>
      </c>
      <c r="E17" s="14">
        <f>IFERROR(SUMIFS(Raw_IFRS9!$E:$E,Raw_IFRS9!$F:$F,$I17,Raw_IFRS9!$G:$G,"Y"),0)</f>
        <v/>
      </c>
      <c r="F17" s="15">
        <f>IFERROR((C17/D17)-1,"")</f>
        <v/>
      </c>
      <c r="G17" s="11" t="n"/>
      <c r="H17" s="11">
        <f>IF(OR(C17=0,C17=""),"Review / optional","OK")</f>
        <v/>
      </c>
      <c r="I17" s="11" t="inlineStr">
        <is>
          <t>I9_LOWRISK</t>
        </is>
      </c>
    </row>
    <row r="18">
      <c r="A18" s="13" t="inlineStr">
        <is>
          <t>Kualitas aset</t>
        </is>
      </c>
      <c r="B18" s="13" t="inlineStr">
        <is>
          <t>Credit-impaired exposure</t>
        </is>
      </c>
      <c r="C18" s="14">
        <f>IFERROR(SUMIFS(Raw_IFRS9!$C:$C,Raw_IFRS9!$F:$F,$I18,Raw_IFRS9!$G:$G,"Y"),0)</f>
        <v/>
      </c>
      <c r="D18" s="14">
        <f>IFERROR(SUMIFS(Raw_IFRS9!$D:$D,Raw_IFRS9!$F:$F,$I18,Raw_IFRS9!$G:$G,"Y"),0)</f>
        <v/>
      </c>
      <c r="E18" s="14">
        <f>IFERROR(SUMIFS(Raw_IFRS9!$E:$E,Raw_IFRS9!$F:$F,$I18,Raw_IFRS9!$G:$G,"Y"),0)</f>
        <v/>
      </c>
      <c r="F18" s="15">
        <f>IFERROR((C18/D18)-1,"")</f>
        <v/>
      </c>
      <c r="G18" s="11" t="n"/>
      <c r="H18" s="11">
        <f>IF(OR(C18=0,C18=""),"Review / optional","OK")</f>
        <v/>
      </c>
      <c r="I18" s="11" t="inlineStr">
        <is>
          <t>I9_CREDIT_IMP</t>
        </is>
      </c>
    </row>
    <row r="19">
      <c r="A19" s="13" t="inlineStr">
        <is>
          <t>Kualitas aset</t>
        </is>
      </c>
      <c r="B19" s="13" t="inlineStr">
        <is>
          <t>Write-offs during year</t>
        </is>
      </c>
      <c r="C19" s="14">
        <f>IFERROR(SUMIFS(Raw_IFRS9!$C:$C,Raw_IFRS9!$F:$F,$I19,Raw_IFRS9!$G:$G,"Y"),0)</f>
        <v/>
      </c>
      <c r="D19" s="14">
        <f>IFERROR(SUMIFS(Raw_IFRS9!$D:$D,Raw_IFRS9!$F:$F,$I19,Raw_IFRS9!$G:$G,"Y"),0)</f>
        <v/>
      </c>
      <c r="E19" s="14">
        <f>IFERROR(SUMIFS(Raw_IFRS9!$E:$E,Raw_IFRS9!$F:$F,$I19,Raw_IFRS9!$G:$G,"Y"),0)</f>
        <v/>
      </c>
      <c r="F19" s="15">
        <f>IFERROR((C19/D19)-1,"")</f>
        <v/>
      </c>
      <c r="G19" s="11" t="n"/>
      <c r="H19" s="11">
        <f>IF(OR(C19=0,C19=""),"Review / optional","OK")</f>
        <v/>
      </c>
      <c r="I19" s="11" t="inlineStr">
        <is>
          <t>I9_WRITEOFF</t>
        </is>
      </c>
    </row>
    <row r="20">
      <c r="A20" s="13" t="inlineStr">
        <is>
          <t>Kualitas aset</t>
        </is>
      </c>
      <c r="B20" s="13" t="inlineStr">
        <is>
          <t>Recovery of written-off assets</t>
        </is>
      </c>
      <c r="C20" s="14">
        <f>IFERROR(SUMIFS(Raw_IFRS9!$C:$C,Raw_IFRS9!$F:$F,$I20,Raw_IFRS9!$G:$G,"Y"),0)</f>
        <v/>
      </c>
      <c r="D20" s="14">
        <f>IFERROR(SUMIFS(Raw_IFRS9!$D:$D,Raw_IFRS9!$F:$F,$I20,Raw_IFRS9!$G:$G,"Y"),0)</f>
        <v/>
      </c>
      <c r="E20" s="14">
        <f>IFERROR(SUMIFS(Raw_IFRS9!$E:$E,Raw_IFRS9!$F:$F,$I20,Raw_IFRS9!$G:$G,"Y"),0)</f>
        <v/>
      </c>
      <c r="F20" s="15">
        <f>IFERROR((C20/D20)-1,"")</f>
        <v/>
      </c>
      <c r="G20" s="11" t="n"/>
      <c r="H20" s="11">
        <f>IF(OR(C20=0,C20=""),"Review / optional","OK")</f>
        <v/>
      </c>
      <c r="I20" s="11" t="inlineStr">
        <is>
          <t>I9_RECOVERY</t>
        </is>
      </c>
    </row>
    <row r="21">
      <c r="A21" s="13" t="inlineStr">
        <is>
          <t>OCI</t>
        </is>
      </c>
      <c r="B21" s="13" t="inlineStr">
        <is>
          <t>FVOCI reserve closing</t>
        </is>
      </c>
      <c r="C21" s="14">
        <f>IFERROR(SUMIFS(Raw_IFRS9!$C:$C,Raw_IFRS9!$F:$F,$I21,Raw_IFRS9!$G:$G,"Y"),0)</f>
        <v/>
      </c>
      <c r="D21" s="14">
        <f>IFERROR(SUMIFS(Raw_IFRS9!$D:$D,Raw_IFRS9!$F:$F,$I21,Raw_IFRS9!$G:$G,"Y"),0)</f>
        <v/>
      </c>
      <c r="E21" s="14">
        <f>IFERROR(SUMIFS(Raw_IFRS9!$E:$E,Raw_IFRS9!$F:$F,$I21,Raw_IFRS9!$G:$G,"Y"),0)</f>
        <v/>
      </c>
      <c r="F21" s="15">
        <f>IFERROR((C21/D21)-1,"")</f>
        <v/>
      </c>
      <c r="G21" s="11" t="n"/>
      <c r="H21" s="11">
        <f>IF(OR(C21=0,C21=""),"Review / optional","OK")</f>
        <v/>
      </c>
      <c r="I21" s="11" t="inlineStr">
        <is>
          <t>I9_FVOCI_RES</t>
        </is>
      </c>
    </row>
    <row r="22">
      <c r="A22" s="13" t="inlineStr">
        <is>
          <t>P/L</t>
        </is>
      </c>
      <c r="B22" s="13" t="inlineStr">
        <is>
          <t>Fair value gain/(loss) on FVTPL recognised in P/L</t>
        </is>
      </c>
      <c r="C22" s="14">
        <f>IFERROR(SUMIFS(Raw_IFRS9!$C:$C,Raw_IFRS9!$F:$F,$I22,Raw_IFRS9!$G:$G,"Y"),0)</f>
        <v/>
      </c>
      <c r="D22" s="14">
        <f>IFERROR(SUMIFS(Raw_IFRS9!$D:$D,Raw_IFRS9!$F:$F,$I22,Raw_IFRS9!$G:$G,"Y"),0)</f>
        <v/>
      </c>
      <c r="E22" s="14">
        <f>IFERROR(SUMIFS(Raw_IFRS9!$E:$E,Raw_IFRS9!$F:$F,$I22,Raw_IFRS9!$G:$G,"Y"),0)</f>
        <v/>
      </c>
      <c r="F22" s="15">
        <f>IFERROR((C22/D22)-1,"")</f>
        <v/>
      </c>
      <c r="G22" s="11" t="n"/>
      <c r="H22" s="11">
        <f>IF(OR(C22=0,C22=""),"Review / optional","OK")</f>
        <v/>
      </c>
      <c r="I22" s="11" t="inlineStr">
        <is>
          <t>I9_FVTPL_PL</t>
        </is>
      </c>
    </row>
    <row r="23">
      <c r="A23" s="13" t="inlineStr">
        <is>
          <t>P/L</t>
        </is>
      </c>
      <c r="B23" s="13" t="inlineStr">
        <is>
          <t>Investment income on financial assets</t>
        </is>
      </c>
      <c r="C23" s="14">
        <f>IFERROR(SUMIFS(Raw_IFRS9!$C:$C,Raw_IFRS9!$F:$F,$I23,Raw_IFRS9!$G:$G,"Y"),0)</f>
        <v/>
      </c>
      <c r="D23" s="14">
        <f>IFERROR(SUMIFS(Raw_IFRS9!$D:$D,Raw_IFRS9!$F:$F,$I23,Raw_IFRS9!$G:$G,"Y"),0)</f>
        <v/>
      </c>
      <c r="E23" s="14">
        <f>IFERROR(SUMIFS(Raw_IFRS9!$E:$E,Raw_IFRS9!$F:$F,$I23,Raw_IFRS9!$G:$G,"Y"),0)</f>
        <v/>
      </c>
      <c r="F23" s="15">
        <f>IFERROR((C23/D23)-1,"")</f>
        <v/>
      </c>
      <c r="G23" s="11" t="n"/>
      <c r="H23" s="11">
        <f>IF(OR(C23=0,C23=""),"Review / optional","OK")</f>
        <v/>
      </c>
      <c r="I23" s="11" t="inlineStr">
        <is>
          <t>I9_INV_INC</t>
        </is>
      </c>
    </row>
    <row r="24">
      <c r="A24" s="13" t="inlineStr">
        <is>
          <t>P/L</t>
        </is>
      </c>
      <c r="B24" s="13" t="inlineStr">
        <is>
          <t>Average investment assets</t>
        </is>
      </c>
      <c r="C24" s="14">
        <f>IFERROR(SUMIFS(Raw_IFRS9!$C:$C,Raw_IFRS9!$F:$F,$I24,Raw_IFRS9!$G:$G,"Y"),0)</f>
        <v/>
      </c>
      <c r="D24" s="14">
        <f>IFERROR(SUMIFS(Raw_IFRS9!$D:$D,Raw_IFRS9!$F:$F,$I24,Raw_IFRS9!$G:$G,"Y"),0)</f>
        <v/>
      </c>
      <c r="E24" s="14">
        <f>IFERROR(SUMIFS(Raw_IFRS9!$E:$E,Raw_IFRS9!$F:$F,$I24,Raw_IFRS9!$G:$G,"Y"),0)</f>
        <v/>
      </c>
      <c r="F24" s="15">
        <f>IFERROR((C24/D24)-1,"")</f>
        <v/>
      </c>
      <c r="G24" s="11" t="n"/>
      <c r="H24" s="11">
        <f>IF(OR(C24=0,C24=""),"Review / optional","OK")</f>
        <v/>
      </c>
      <c r="I24" s="11" t="inlineStr">
        <is>
          <t>I9_AVG_INV</t>
        </is>
      </c>
    </row>
    <row r="25">
      <c r="A25" s="13" t="inlineStr">
        <is>
          <t>P/L</t>
        </is>
      </c>
      <c r="B25" s="13" t="inlineStr">
        <is>
          <t>Portfolio yield</t>
        </is>
      </c>
      <c r="C25" s="20">
        <f>IFERROR(IF(C24&gt;0,C23/C24,""),"")</f>
        <v/>
      </c>
      <c r="D25" s="20">
        <f>IFERROR(IF(D24&gt;0,D23/D24,""),"")</f>
        <v/>
      </c>
      <c r="E25" s="20">
        <f>IFERROR(IF(E24&gt;0,E23/E24,""),"")</f>
        <v/>
      </c>
      <c r="F25" s="15">
        <f>IFERROR((C25/D25)-1,"")</f>
        <v/>
      </c>
      <c r="G25" s="11" t="n"/>
      <c r="H25" s="11" t="inlineStr"/>
      <c r="I25" s="11" t="inlineStr"/>
    </row>
    <row r="26">
      <c r="A26" s="16" t="inlineStr">
        <is>
          <t>Sensitivitas</t>
        </is>
      </c>
      <c r="B26" s="16" t="inlineStr">
        <is>
          <t>Interest rate duration / sensitivity (years)</t>
        </is>
      </c>
      <c r="C26" s="17">
        <f>IFERROR(SUMIFS(Raw_IFRS9!$C:$C,Raw_IFRS9!$F:$F,$I26,Raw_IFRS9!$G:$G,"Y"),0)</f>
        <v/>
      </c>
      <c r="D26" s="17">
        <f>IFERROR(SUMIFS(Raw_IFRS9!$D:$D,Raw_IFRS9!$F:$F,$I26,Raw_IFRS9!$G:$G,"Y"),0)</f>
        <v/>
      </c>
      <c r="E26" s="17">
        <f>IFERROR(SUMIFS(Raw_IFRS9!$E:$E,Raw_IFRS9!$F:$F,$I26,Raw_IFRS9!$G:$G,"Y"),0)</f>
        <v/>
      </c>
      <c r="F26" s="18">
        <f>IFERROR((C26/D26)-1,"")</f>
        <v/>
      </c>
      <c r="G26" s="19" t="n"/>
      <c r="H26" s="19">
        <f>IF(OR(C26=0,C26=""),"Review / optional","OK")</f>
        <v/>
      </c>
      <c r="I26" s="11" t="inlineStr">
        <is>
          <t>I9_DURATION</t>
        </is>
      </c>
    </row>
  </sheetData>
  <mergeCells count="1">
    <mergeCell ref="A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4" customWidth="1" min="3" max="3"/>
    <col width="30" customWidth="1" min="4" max="4"/>
    <col width="32" customWidth="1" min="5" max="5"/>
  </cols>
  <sheetData>
    <row r="1" ht="24" customHeight="1">
      <c r="A1" s="1" t="inlineStr">
        <is>
          <t>MAPPING CODE REFERENCE</t>
        </is>
      </c>
    </row>
    <row r="2">
      <c r="A2" s="3" t="inlineStr">
        <is>
          <t>Code</t>
        </is>
      </c>
      <c r="B2" s="3" t="inlineStr">
        <is>
          <t>Summary sheet</t>
        </is>
      </c>
      <c r="C2" s="3" t="inlineStr">
        <is>
          <t>Meaning</t>
        </is>
      </c>
      <c r="D2" s="3" t="inlineStr">
        <is>
          <t>Typical audited line items</t>
        </is>
      </c>
      <c r="E2" s="3" t="inlineStr">
        <is>
          <t>Comment</t>
        </is>
      </c>
    </row>
    <row r="3">
      <c r="A3" t="inlineStr">
        <is>
          <t>SFP_CASH</t>
        </is>
      </c>
      <c r="B3" t="inlineStr">
        <is>
          <t>Input_SFP</t>
        </is>
      </c>
      <c r="C3" t="inlineStr">
        <is>
          <t>Kas dan setara kas</t>
        </is>
      </c>
      <c r="D3" t="inlineStr">
        <is>
          <t>ASET</t>
        </is>
      </c>
    </row>
    <row r="4">
      <c r="A4" t="inlineStr">
        <is>
          <t>SFP_MM</t>
        </is>
      </c>
      <c r="B4" t="inlineStr">
        <is>
          <t>Input_SFP</t>
        </is>
      </c>
      <c r="C4" t="inlineStr">
        <is>
          <t>Penempatan jangka pendek / pasar uang</t>
        </is>
      </c>
      <c r="D4" t="inlineStr">
        <is>
          <t>ASET</t>
        </is>
      </c>
    </row>
    <row r="5">
      <c r="A5" t="inlineStr">
        <is>
          <t>SFP_FVTPL</t>
        </is>
      </c>
      <c r="B5" t="inlineStr">
        <is>
          <t>Input_SFP</t>
        </is>
      </c>
      <c r="C5" t="inlineStr">
        <is>
          <t>Investasi pada FVTPL</t>
        </is>
      </c>
      <c r="D5" t="inlineStr">
        <is>
          <t>ASET</t>
        </is>
      </c>
    </row>
    <row r="6">
      <c r="A6" t="inlineStr">
        <is>
          <t>SFP_FVOCI_DEBT</t>
        </is>
      </c>
      <c r="B6" t="inlineStr">
        <is>
          <t>Input_SFP</t>
        </is>
      </c>
      <c r="C6" t="inlineStr">
        <is>
          <t>Investasi utang pada FVOCI</t>
        </is>
      </c>
      <c r="D6" t="inlineStr">
        <is>
          <t>ASET</t>
        </is>
      </c>
    </row>
    <row r="7">
      <c r="A7" t="inlineStr">
        <is>
          <t>SFP_FVOCI_EQ</t>
        </is>
      </c>
      <c r="B7" t="inlineStr">
        <is>
          <t>Input_SFP</t>
        </is>
      </c>
      <c r="C7" t="inlineStr">
        <is>
          <t>Investasi ekuitas pada FVOCI</t>
        </is>
      </c>
      <c r="D7" t="inlineStr">
        <is>
          <t>ASET</t>
        </is>
      </c>
    </row>
    <row r="8">
      <c r="A8" t="inlineStr">
        <is>
          <t>SFP_AC</t>
        </is>
      </c>
      <c r="B8" t="inlineStr">
        <is>
          <t>Input_SFP</t>
        </is>
      </c>
      <c r="C8" t="inlineStr">
        <is>
          <t>Investasi pada biaya perolehan diamortisasi</t>
        </is>
      </c>
      <c r="D8" t="inlineStr">
        <is>
          <t>ASET</t>
        </is>
      </c>
    </row>
    <row r="9">
      <c r="A9" t="inlineStr">
        <is>
          <t>SFP_INVPROP</t>
        </is>
      </c>
      <c r="B9" t="inlineStr">
        <is>
          <t>Input_SFP</t>
        </is>
      </c>
      <c r="C9" t="inlineStr">
        <is>
          <t>Properti investasi</t>
        </is>
      </c>
      <c r="D9" t="inlineStr">
        <is>
          <t>ASET</t>
        </is>
      </c>
    </row>
    <row r="10">
      <c r="A10" t="inlineStr">
        <is>
          <t>SFP_LOANS</t>
        </is>
      </c>
      <c r="B10" t="inlineStr">
        <is>
          <t>Input_SFP</t>
        </is>
      </c>
      <c r="C10" t="inlineStr">
        <is>
          <t>Pinjaman polis / piutang pembiayaan / loans</t>
        </is>
      </c>
      <c r="D10" t="inlineStr">
        <is>
          <t>ASET</t>
        </is>
      </c>
    </row>
    <row r="11">
      <c r="A11" t="inlineStr">
        <is>
          <t>SFP_RECEIV</t>
        </is>
      </c>
      <c r="B11" t="inlineStr">
        <is>
          <t>Input_SFP</t>
        </is>
      </c>
      <c r="C11" t="inlineStr">
        <is>
          <t>Piutang premi dan piutang lain-lain</t>
        </is>
      </c>
      <c r="D11" t="inlineStr">
        <is>
          <t>ASET</t>
        </is>
      </c>
    </row>
    <row r="12">
      <c r="A12" t="inlineStr">
        <is>
          <t>SFP_REINS_ASSET</t>
        </is>
      </c>
      <c r="B12" t="inlineStr">
        <is>
          <t>Input_SFP</t>
        </is>
      </c>
      <c r="C12" t="inlineStr">
        <is>
          <t>Aset kontrak reasuransi</t>
        </is>
      </c>
      <c r="D12" t="inlineStr">
        <is>
          <t>ASET</t>
        </is>
      </c>
    </row>
    <row r="13">
      <c r="A13" t="inlineStr">
        <is>
          <t>SFP_ACQASSET</t>
        </is>
      </c>
      <c r="B13" t="inlineStr">
        <is>
          <t>Input_SFP</t>
        </is>
      </c>
      <c r="C13" t="inlineStr">
        <is>
          <t>Aset akuisisi asuransi / acquisition cash flow asset</t>
        </is>
      </c>
      <c r="D13" t="inlineStr">
        <is>
          <t>ASET</t>
        </is>
      </c>
    </row>
    <row r="14">
      <c r="A14" t="inlineStr">
        <is>
          <t>SFP_PPE</t>
        </is>
      </c>
      <c r="B14" t="inlineStr">
        <is>
          <t>Input_SFP</t>
        </is>
      </c>
      <c r="C14" t="inlineStr">
        <is>
          <t>Aset tetap, ROU, dan properti yang digunakan sendiri</t>
        </is>
      </c>
      <c r="D14" t="inlineStr">
        <is>
          <t>ASET</t>
        </is>
      </c>
    </row>
    <row r="15">
      <c r="A15" t="inlineStr">
        <is>
          <t>SFP_INTANG</t>
        </is>
      </c>
      <c r="B15" t="inlineStr">
        <is>
          <t>Input_SFP</t>
        </is>
      </c>
      <c r="C15" t="inlineStr">
        <is>
          <t>Aset takberwujud</t>
        </is>
      </c>
      <c r="D15" t="inlineStr">
        <is>
          <t>ASET</t>
        </is>
      </c>
    </row>
    <row r="16">
      <c r="A16" t="inlineStr">
        <is>
          <t>SFP_TAX_ASSET</t>
        </is>
      </c>
      <c r="B16" t="inlineStr">
        <is>
          <t>Input_SFP</t>
        </is>
      </c>
      <c r="C16" t="inlineStr">
        <is>
          <t>Aset pajak kini/deferred tax asset</t>
        </is>
      </c>
      <c r="D16" t="inlineStr">
        <is>
          <t>ASET</t>
        </is>
      </c>
    </row>
    <row r="17">
      <c r="A17" t="inlineStr">
        <is>
          <t>SFP_OTHER</t>
        </is>
      </c>
      <c r="B17" t="inlineStr">
        <is>
          <t>Input_SFP</t>
        </is>
      </c>
      <c r="C17" t="inlineStr">
        <is>
          <t>Aset lain-lain</t>
        </is>
      </c>
      <c r="D17" t="inlineStr">
        <is>
          <t>ASET</t>
        </is>
      </c>
    </row>
    <row r="18">
      <c r="A18" t="inlineStr">
        <is>
          <t>SFP_INS_LIAB</t>
        </is>
      </c>
      <c r="B18" t="inlineStr">
        <is>
          <t>Input_SFP</t>
        </is>
      </c>
      <c r="C18" t="inlineStr">
        <is>
          <t>Liabilitas kontrak asuransi</t>
        </is>
      </c>
      <c r="D18" t="inlineStr">
        <is>
          <t>LIABILITAS</t>
        </is>
      </c>
    </row>
    <row r="19">
      <c r="A19" t="inlineStr">
        <is>
          <t>SFP_REINS_LIAB</t>
        </is>
      </c>
      <c r="B19" t="inlineStr">
        <is>
          <t>Input_SFP</t>
        </is>
      </c>
      <c r="C19" t="inlineStr">
        <is>
          <t>Liabilitas kontrak reasuransi</t>
        </is>
      </c>
      <c r="D19" t="inlineStr">
        <is>
          <t>LIABILITAS</t>
        </is>
      </c>
    </row>
    <row r="20">
      <c r="A20" t="inlineStr">
        <is>
          <t>SFP_INVEST_LIAB</t>
        </is>
      </c>
      <c r="B20" t="inlineStr">
        <is>
          <t>Input_SFP</t>
        </is>
      </c>
      <c r="C20" t="inlineStr">
        <is>
          <t>Liabilitas kontrak investasi</t>
        </is>
      </c>
      <c r="D20" t="inlineStr">
        <is>
          <t>LIABILITAS</t>
        </is>
      </c>
    </row>
    <row r="21">
      <c r="A21" t="inlineStr">
        <is>
          <t>SFP_PAYABLES</t>
        </is>
      </c>
      <c r="B21" t="inlineStr">
        <is>
          <t>Input_SFP</t>
        </is>
      </c>
      <c r="C21" t="inlineStr">
        <is>
          <t>Utang klaim, utang reasuransi, dan utang komisi</t>
        </is>
      </c>
      <c r="D21" t="inlineStr">
        <is>
          <t>LIABILITAS</t>
        </is>
      </c>
    </row>
    <row r="22">
      <c r="A22" t="inlineStr">
        <is>
          <t>SFP_TAX_LIAB</t>
        </is>
      </c>
      <c r="B22" t="inlineStr">
        <is>
          <t>Input_SFP</t>
        </is>
      </c>
      <c r="C22" t="inlineStr">
        <is>
          <t>Utang pajak kini/deferred tax liability</t>
        </is>
      </c>
      <c r="D22" t="inlineStr">
        <is>
          <t>LIABILITAS</t>
        </is>
      </c>
    </row>
    <row r="23">
      <c r="A23" t="inlineStr">
        <is>
          <t>SFP_LEASE_DEBT</t>
        </is>
      </c>
      <c r="B23" t="inlineStr">
        <is>
          <t>Input_SFP</t>
        </is>
      </c>
      <c r="C23" t="inlineStr">
        <is>
          <t>Liabilitas sewa dan pinjaman</t>
        </is>
      </c>
      <c r="D23" t="inlineStr">
        <is>
          <t>LIABILITAS</t>
        </is>
      </c>
    </row>
    <row r="24">
      <c r="A24" t="inlineStr">
        <is>
          <t>SFP_OTHER_LIAB</t>
        </is>
      </c>
      <c r="B24" t="inlineStr">
        <is>
          <t>Input_SFP</t>
        </is>
      </c>
      <c r="C24" t="inlineStr">
        <is>
          <t>Liabilitas lain-lain</t>
        </is>
      </c>
      <c r="D24" t="inlineStr">
        <is>
          <t>LIABILITAS</t>
        </is>
      </c>
    </row>
    <row r="25">
      <c r="A25" t="inlineStr">
        <is>
          <t>SFP_FUNDS</t>
        </is>
      </c>
      <c r="B25" t="inlineStr">
        <is>
          <t>Input_SFP</t>
        </is>
      </c>
      <c r="C25" t="inlineStr">
        <is>
          <t>Dana peserta / liabilities to policyholders fund</t>
        </is>
      </c>
      <c r="D25" t="inlineStr">
        <is>
          <t>DANA PESERTA</t>
        </is>
      </c>
    </row>
    <row r="26">
      <c r="A26" t="inlineStr">
        <is>
          <t>SFP_SHARECAP</t>
        </is>
      </c>
      <c r="B26" t="inlineStr">
        <is>
          <t>Input_SFP</t>
        </is>
      </c>
      <c r="C26" t="inlineStr">
        <is>
          <t>Modal saham</t>
        </is>
      </c>
      <c r="D26" t="inlineStr">
        <is>
          <t>EKUITAS</t>
        </is>
      </c>
    </row>
    <row r="27">
      <c r="A27" t="inlineStr">
        <is>
          <t>SFP_APIC</t>
        </is>
      </c>
      <c r="B27" t="inlineStr">
        <is>
          <t>Input_SFP</t>
        </is>
      </c>
      <c r="C27" t="inlineStr">
        <is>
          <t>Tambahan modal disetor</t>
        </is>
      </c>
      <c r="D27" t="inlineStr">
        <is>
          <t>EKUITAS</t>
        </is>
      </c>
    </row>
    <row r="28">
      <c r="A28" t="inlineStr">
        <is>
          <t>SFP_RETAINED</t>
        </is>
      </c>
      <c r="B28" t="inlineStr">
        <is>
          <t>Input_SFP</t>
        </is>
      </c>
      <c r="C28" t="inlineStr">
        <is>
          <t>Saldo laba</t>
        </is>
      </c>
      <c r="D28" t="inlineStr">
        <is>
          <t>EKUITAS</t>
        </is>
      </c>
    </row>
    <row r="29">
      <c r="A29" t="inlineStr">
        <is>
          <t>SFP_FVOCI_RES</t>
        </is>
      </c>
      <c r="B29" t="inlineStr">
        <is>
          <t>Input_SFP</t>
        </is>
      </c>
      <c r="C29" t="inlineStr">
        <is>
          <t>Cadangan FVOCI / fair value reserve</t>
        </is>
      </c>
      <c r="D29" t="inlineStr">
        <is>
          <t>EKUITAS</t>
        </is>
      </c>
    </row>
    <row r="30">
      <c r="A30" t="inlineStr">
        <is>
          <t>SFP_IFOCI_RES</t>
        </is>
      </c>
      <c r="B30" t="inlineStr">
        <is>
          <t>Input_SFP</t>
        </is>
      </c>
      <c r="C30" t="inlineStr">
        <is>
          <t>Cadangan insurance finance OCI</t>
        </is>
      </c>
      <c r="D30" t="inlineStr">
        <is>
          <t>EKUITAS</t>
        </is>
      </c>
    </row>
    <row r="31">
      <c r="A31" t="inlineStr">
        <is>
          <t>SFP_OTHER_EQ</t>
        </is>
      </c>
      <c r="B31" t="inlineStr">
        <is>
          <t>Input_SFP</t>
        </is>
      </c>
      <c r="C31" t="inlineStr">
        <is>
          <t>Cadangan OCI dan cadangan lain-lain</t>
        </is>
      </c>
      <c r="D31" t="inlineStr">
        <is>
          <t>EKUITAS</t>
        </is>
      </c>
    </row>
    <row r="32">
      <c r="A32" t="inlineStr">
        <is>
          <t>PL_INS_REV</t>
        </is>
      </c>
      <c r="B32" t="inlineStr">
        <is>
          <t>Input_PL_OCI</t>
        </is>
      </c>
      <c r="C32" t="inlineStr">
        <is>
          <t>Insurance revenue</t>
        </is>
      </c>
      <c r="D32" t="inlineStr">
        <is>
          <t>HASIL JASA ASURANSI</t>
        </is>
      </c>
    </row>
    <row r="33">
      <c r="A33" t="inlineStr">
        <is>
          <t>PL_INS_EXP</t>
        </is>
      </c>
      <c r="B33" t="inlineStr">
        <is>
          <t>Input_PL_OCI</t>
        </is>
      </c>
      <c r="C33" t="inlineStr">
        <is>
          <t>Insurance service expense</t>
        </is>
      </c>
      <c r="D33" t="inlineStr">
        <is>
          <t>HASIL JASA ASURANSI</t>
        </is>
      </c>
    </row>
    <row r="34">
      <c r="A34" t="inlineStr">
        <is>
          <t>PL_REINS_NET</t>
        </is>
      </c>
      <c r="B34" t="inlineStr">
        <is>
          <t>Input_PL_OCI</t>
        </is>
      </c>
      <c r="C34" t="inlineStr">
        <is>
          <t>Net expense/(income) from reinsurance contracts held</t>
        </is>
      </c>
      <c r="D34" t="inlineStr">
        <is>
          <t>HASIL JASA ASURANSI</t>
        </is>
      </c>
    </row>
    <row r="35">
      <c r="A35" t="inlineStr">
        <is>
          <t>PL_INV_RES</t>
        </is>
      </c>
      <c r="B35" t="inlineStr">
        <is>
          <t>Input_PL_OCI</t>
        </is>
      </c>
      <c r="C35" t="inlineStr">
        <is>
          <t>Net investment result / investment income - net</t>
        </is>
      </c>
      <c r="D35" t="inlineStr">
        <is>
          <t>INVESTASI &amp; KEUANGAN</t>
        </is>
      </c>
    </row>
    <row r="36">
      <c r="A36" t="inlineStr">
        <is>
          <t>PL_IF_FIN</t>
        </is>
      </c>
      <c r="B36" t="inlineStr">
        <is>
          <t>Input_PL_OCI</t>
        </is>
      </c>
      <c r="C36" t="inlineStr">
        <is>
          <t>Insurance finance income/(expense) from contracts issued</t>
        </is>
      </c>
      <c r="D36" t="inlineStr">
        <is>
          <t>INVESTASI &amp; KEUANGAN</t>
        </is>
      </c>
    </row>
    <row r="37">
      <c r="A37" t="inlineStr">
        <is>
          <t>PL_REINS_FIN</t>
        </is>
      </c>
      <c r="B37" t="inlineStr">
        <is>
          <t>Input_PL_OCI</t>
        </is>
      </c>
      <c r="C37" t="inlineStr">
        <is>
          <t>Insurance finance income/(expense) from reinsurance held</t>
        </is>
      </c>
      <c r="D37" t="inlineStr">
        <is>
          <t>INVESTASI &amp; KEUANGAN</t>
        </is>
      </c>
    </row>
    <row r="38">
      <c r="A38" t="inlineStr">
        <is>
          <t>PL_IMPAIR</t>
        </is>
      </c>
      <c r="B38" t="inlineStr">
        <is>
          <t>Input_PL_OCI</t>
        </is>
      </c>
      <c r="C38" t="inlineStr">
        <is>
          <t>Net impairment gain/(loss) on financial assets</t>
        </is>
      </c>
      <c r="D38" t="inlineStr">
        <is>
          <t>INVESTASI &amp; KEUANGAN</t>
        </is>
      </c>
    </row>
    <row r="39">
      <c r="A39" t="inlineStr">
        <is>
          <t>PL_FEE_OTHER</t>
        </is>
      </c>
      <c r="B39" t="inlineStr">
        <is>
          <t>Input_PL_OCI</t>
        </is>
      </c>
      <c r="C39" t="inlineStr">
        <is>
          <t>Fee and other operating income</t>
        </is>
      </c>
      <c r="D39" t="inlineStr">
        <is>
          <t>INVESTASI &amp; KEUANGAN</t>
        </is>
      </c>
    </row>
    <row r="40">
      <c r="A40" t="inlineStr">
        <is>
          <t>PL_OPEX</t>
        </is>
      </c>
      <c r="B40" t="inlineStr">
        <is>
          <t>Input_PL_OCI</t>
        </is>
      </c>
      <c r="C40" t="inlineStr">
        <is>
          <t>Operating expenses outside insurance service expense</t>
        </is>
      </c>
      <c r="D40" t="inlineStr">
        <is>
          <t>BEBAN</t>
        </is>
      </c>
    </row>
    <row r="41">
      <c r="A41" t="inlineStr">
        <is>
          <t>PL_OTHER_NONOP</t>
        </is>
      </c>
      <c r="B41" t="inlineStr">
        <is>
          <t>Input_PL_OCI</t>
        </is>
      </c>
      <c r="C41" t="inlineStr">
        <is>
          <t>Finance costs and other non-operating items</t>
        </is>
      </c>
      <c r="D41" t="inlineStr">
        <is>
          <t>BEBAN</t>
        </is>
      </c>
    </row>
    <row r="42">
      <c r="A42" t="inlineStr">
        <is>
          <t>PL_TAX</t>
        </is>
      </c>
      <c r="B42" t="inlineStr">
        <is>
          <t>Input_PL_OCI</t>
        </is>
      </c>
      <c r="C42" t="inlineStr">
        <is>
          <t>Income tax expense</t>
        </is>
      </c>
      <c r="D42" t="inlineStr">
        <is>
          <t>LABA</t>
        </is>
      </c>
    </row>
    <row r="43">
      <c r="A43" t="inlineStr">
        <is>
          <t>OCI_FVOCI</t>
        </is>
      </c>
      <c r="B43" t="inlineStr">
        <is>
          <t>Input_PL_OCI</t>
        </is>
      </c>
      <c r="C43" t="inlineStr">
        <is>
          <t>OCI - FVOCI reserve movement</t>
        </is>
      </c>
      <c r="D43" t="inlineStr">
        <is>
          <t>OCI</t>
        </is>
      </c>
    </row>
    <row r="44">
      <c r="A44" t="inlineStr">
        <is>
          <t>OCI_IFOCI</t>
        </is>
      </c>
      <c r="B44" t="inlineStr">
        <is>
          <t>Input_PL_OCI</t>
        </is>
      </c>
      <c r="C44" t="inlineStr">
        <is>
          <t>OCI - insurance finance OCI</t>
        </is>
      </c>
      <c r="D44" t="inlineStr">
        <is>
          <t>OCI</t>
        </is>
      </c>
    </row>
    <row r="45">
      <c r="A45" t="inlineStr">
        <is>
          <t>OCI_OTHER</t>
        </is>
      </c>
      <c r="B45" t="inlineStr">
        <is>
          <t>Input_PL_OCI</t>
        </is>
      </c>
      <c r="C45" t="inlineStr">
        <is>
          <t>OCI - other OCI</t>
        </is>
      </c>
      <c r="D45" t="inlineStr">
        <is>
          <t>OCI</t>
        </is>
      </c>
    </row>
    <row r="46">
      <c r="A46" t="inlineStr">
        <is>
          <t>I17_REV</t>
        </is>
      </c>
      <c r="B46" t="inlineStr">
        <is>
          <t>Input_IFRS17_Detail</t>
        </is>
      </c>
      <c r="C46" t="inlineStr">
        <is>
          <t>Insurance revenue total</t>
        </is>
      </c>
      <c r="D46" t="inlineStr">
        <is>
          <t>Hasil jasa</t>
        </is>
      </c>
    </row>
    <row r="47">
      <c r="A47" t="inlineStr">
        <is>
          <t>I17_CLAIMS</t>
        </is>
      </c>
      <c r="B47" t="inlineStr">
        <is>
          <t>Input_IFRS17_Detail</t>
        </is>
      </c>
      <c r="C47" t="inlineStr">
        <is>
          <t>Claims and benefits incurred</t>
        </is>
      </c>
      <c r="D47" t="inlineStr">
        <is>
          <t>Hasil jasa</t>
        </is>
      </c>
    </row>
    <row r="48">
      <c r="A48" t="inlineStr">
        <is>
          <t>I17_ACQ_AMORT</t>
        </is>
      </c>
      <c r="B48" t="inlineStr">
        <is>
          <t>Input_IFRS17_Detail</t>
        </is>
      </c>
      <c r="C48" t="inlineStr">
        <is>
          <t>Acquisition cash flow amortisation / commissions in service expense</t>
        </is>
      </c>
      <c r="D48" t="inlineStr">
        <is>
          <t>Hasil jasa</t>
        </is>
      </c>
    </row>
    <row r="49">
      <c r="A49" t="inlineStr">
        <is>
          <t>I17_OTHER_EXP</t>
        </is>
      </c>
      <c r="B49" t="inlineStr">
        <is>
          <t>Input_IFRS17_Detail</t>
        </is>
      </c>
      <c r="C49" t="inlineStr">
        <is>
          <t>Other directly attributable expenses</t>
        </is>
      </c>
      <c r="D49" t="inlineStr">
        <is>
          <t>Hasil jasa</t>
        </is>
      </c>
    </row>
    <row r="50">
      <c r="A50" t="inlineStr">
        <is>
          <t>I17_ONEROUS</t>
        </is>
      </c>
      <c r="B50" t="inlineStr">
        <is>
          <t>Input_IFRS17_Detail</t>
        </is>
      </c>
      <c r="C50" t="inlineStr">
        <is>
          <t>Losses on onerous contracts and reversals</t>
        </is>
      </c>
      <c r="D50" t="inlineStr">
        <is>
          <t>Hasil jasa</t>
        </is>
      </c>
    </row>
    <row r="51">
      <c r="A51" t="inlineStr">
        <is>
          <t>I17_REINS_NET</t>
        </is>
      </c>
      <c r="B51" t="inlineStr">
        <is>
          <t>Input_IFRS17_Detail</t>
        </is>
      </c>
      <c r="C51" t="inlineStr">
        <is>
          <t>Net expense/(income) from reinsurance contracts held</t>
        </is>
      </c>
      <c r="D51" t="inlineStr">
        <is>
          <t>Reasuransi</t>
        </is>
      </c>
    </row>
    <row r="52">
      <c r="A52" t="inlineStr">
        <is>
          <t>I17_FIN_ISSUED</t>
        </is>
      </c>
      <c r="B52" t="inlineStr">
        <is>
          <t>Input_IFRS17_Detail</t>
        </is>
      </c>
      <c r="C52" t="inlineStr">
        <is>
          <t>Insurance finance income/(expense) - contracts issued</t>
        </is>
      </c>
      <c r="D52" t="inlineStr">
        <is>
          <t>Keuangan</t>
        </is>
      </c>
    </row>
    <row r="53">
      <c r="A53" t="inlineStr">
        <is>
          <t>I17_FIN_REINS</t>
        </is>
      </c>
      <c r="B53" t="inlineStr">
        <is>
          <t>Input_IFRS17_Detail</t>
        </is>
      </c>
      <c r="C53" t="inlineStr">
        <is>
          <t>Insurance finance income/(expense) - reinsurance held</t>
        </is>
      </c>
      <c r="D53" t="inlineStr">
        <is>
          <t>Keuangan</t>
        </is>
      </c>
    </row>
    <row r="54">
      <c r="A54" t="inlineStr">
        <is>
          <t>I17_LIAB</t>
        </is>
      </c>
      <c r="B54" t="inlineStr">
        <is>
          <t>Input_IFRS17_Detail</t>
        </is>
      </c>
      <c r="C54" t="inlineStr">
        <is>
          <t>Insurance contract liabilities</t>
        </is>
      </c>
      <c r="D54" t="inlineStr">
        <is>
          <t>Posisi keuangan</t>
        </is>
      </c>
    </row>
    <row r="55">
      <c r="A55" t="inlineStr">
        <is>
          <t>I17_REINS_ASSET</t>
        </is>
      </c>
      <c r="B55" t="inlineStr">
        <is>
          <t>Input_IFRS17_Detail</t>
        </is>
      </c>
      <c r="C55" t="inlineStr">
        <is>
          <t>Reinsurance contract assets</t>
        </is>
      </c>
      <c r="D55" t="inlineStr">
        <is>
          <t>Posisi keuangan</t>
        </is>
      </c>
    </row>
    <row r="56">
      <c r="A56" t="inlineStr">
        <is>
          <t>I17_REINS_LIAB</t>
        </is>
      </c>
      <c r="B56" t="inlineStr">
        <is>
          <t>Input_IFRS17_Detail</t>
        </is>
      </c>
      <c r="C56" t="inlineStr">
        <is>
          <t>Reinsurance contract liabilities</t>
        </is>
      </c>
      <c r="D56" t="inlineStr">
        <is>
          <t>Posisi keuangan</t>
        </is>
      </c>
    </row>
    <row r="57">
      <c r="A57" t="inlineStr">
        <is>
          <t>I17_LRC</t>
        </is>
      </c>
      <c r="B57" t="inlineStr">
        <is>
          <t>Input_IFRS17_Detail</t>
        </is>
      </c>
      <c r="C57" t="inlineStr">
        <is>
          <t>Liability for remaining coverage (LRC) excl. loss component</t>
        </is>
      </c>
      <c r="D57" t="inlineStr">
        <is>
          <t>Posisi keuangan</t>
        </is>
      </c>
    </row>
    <row r="58">
      <c r="A58" t="inlineStr">
        <is>
          <t>I17_LIC</t>
        </is>
      </c>
      <c r="B58" t="inlineStr">
        <is>
          <t>Input_IFRS17_Detail</t>
        </is>
      </c>
      <c r="C58" t="inlineStr">
        <is>
          <t>Liability for incurred claims (LIC)</t>
        </is>
      </c>
      <c r="D58" t="inlineStr">
        <is>
          <t>Posisi keuangan</t>
        </is>
      </c>
    </row>
    <row r="59">
      <c r="A59" t="inlineStr">
        <is>
          <t>I17_LOSSCOMP</t>
        </is>
      </c>
      <c r="B59" t="inlineStr">
        <is>
          <t>Input_IFRS17_Detail</t>
        </is>
      </c>
      <c r="C59" t="inlineStr">
        <is>
          <t>Loss component</t>
        </is>
      </c>
      <c r="D59" t="inlineStr">
        <is>
          <t>Posisi keuangan</t>
        </is>
      </c>
    </row>
    <row r="60">
      <c r="A60" t="inlineStr">
        <is>
          <t>I17_RA</t>
        </is>
      </c>
      <c r="B60" t="inlineStr">
        <is>
          <t>Input_IFRS17_Detail</t>
        </is>
      </c>
      <c r="C60" t="inlineStr">
        <is>
          <t>Risk adjustment for non-financial risk</t>
        </is>
      </c>
      <c r="D60" t="inlineStr">
        <is>
          <t>Posisi keuangan</t>
        </is>
      </c>
    </row>
    <row r="61">
      <c r="A61" t="inlineStr">
        <is>
          <t>I17_CSM_OPEN</t>
        </is>
      </c>
      <c r="B61" t="inlineStr">
        <is>
          <t>Input_IFRS17_Detail</t>
        </is>
      </c>
      <c r="C61" t="inlineStr">
        <is>
          <t>Opening CSM</t>
        </is>
      </c>
      <c r="D61" t="inlineStr">
        <is>
          <t>CSM</t>
        </is>
      </c>
    </row>
    <row r="62">
      <c r="A62" t="inlineStr">
        <is>
          <t>I17_CSM_NEW</t>
        </is>
      </c>
      <c r="B62" t="inlineStr">
        <is>
          <t>Input_IFRS17_Detail</t>
        </is>
      </c>
      <c r="C62" t="inlineStr">
        <is>
          <t>New business / contracts issued</t>
        </is>
      </c>
      <c r="D62" t="inlineStr">
        <is>
          <t>CSM</t>
        </is>
      </c>
    </row>
    <row r="63">
      <c r="A63" t="inlineStr">
        <is>
          <t>I17_CSM_ACC</t>
        </is>
      </c>
      <c r="B63" t="inlineStr">
        <is>
          <t>Input_IFRS17_Detail</t>
        </is>
      </c>
      <c r="C63" t="inlineStr">
        <is>
          <t>Interest accretion on CSM</t>
        </is>
      </c>
      <c r="D63" t="inlineStr">
        <is>
          <t>CSM</t>
        </is>
      </c>
    </row>
    <row r="64">
      <c r="A64" t="inlineStr">
        <is>
          <t>I17_CSM_FUT</t>
        </is>
      </c>
      <c r="B64" t="inlineStr">
        <is>
          <t>Input_IFRS17_Detail</t>
        </is>
      </c>
      <c r="C64" t="inlineStr">
        <is>
          <t>Changes related to future service</t>
        </is>
      </c>
      <c r="D64" t="inlineStr">
        <is>
          <t>CSM</t>
        </is>
      </c>
    </row>
    <row r="65">
      <c r="A65" t="inlineStr">
        <is>
          <t>I17_CSM_SERV</t>
        </is>
      </c>
      <c r="B65" t="inlineStr">
        <is>
          <t>Input_IFRS17_Detail</t>
        </is>
      </c>
      <c r="C65" t="inlineStr">
        <is>
          <t>CSM recognised for services provided</t>
        </is>
      </c>
      <c r="D65" t="inlineStr">
        <is>
          <t>CSM</t>
        </is>
      </c>
    </row>
    <row r="66">
      <c r="A66" t="inlineStr">
        <is>
          <t>I17_CSM_OTHER</t>
        </is>
      </c>
      <c r="B66" t="inlineStr">
        <is>
          <t>Input_IFRS17_Detail</t>
        </is>
      </c>
      <c r="C66" t="inlineStr">
        <is>
          <t>FX and other movements</t>
        </is>
      </c>
      <c r="D66" t="inlineStr">
        <is>
          <t>CSM</t>
        </is>
      </c>
    </row>
    <row r="67">
      <c r="A67" t="inlineStr">
        <is>
          <t>I17_ACQASSET</t>
        </is>
      </c>
      <c r="B67" t="inlineStr">
        <is>
          <t>Input_IFRS17_Detail</t>
        </is>
      </c>
      <c r="C67" t="inlineStr">
        <is>
          <t>Insurance acquisition cash flow asset</t>
        </is>
      </c>
      <c r="D67" t="inlineStr">
        <is>
          <t>Operasional</t>
        </is>
      </c>
    </row>
    <row r="68">
      <c r="A68" t="inlineStr">
        <is>
          <t>I17_COV_UNITS</t>
        </is>
      </c>
      <c r="B68" t="inlineStr">
        <is>
          <t>Input_IFRS17_Detail</t>
        </is>
      </c>
      <c r="C68" t="inlineStr">
        <is>
          <t>Policies in force / coverage units</t>
        </is>
      </c>
      <c r="D68" t="inlineStr">
        <is>
          <t>Operasional</t>
        </is>
      </c>
    </row>
    <row r="69">
      <c r="A69" t="inlineStr">
        <is>
          <t>I17_NEWBUS</t>
        </is>
      </c>
      <c r="B69" t="inlineStr">
        <is>
          <t>Input_IFRS17_Detail</t>
        </is>
      </c>
      <c r="C69" t="inlineStr">
        <is>
          <t>New business APE / new premiums</t>
        </is>
      </c>
      <c r="D69" t="inlineStr">
        <is>
          <t>Operasional</t>
        </is>
      </c>
    </row>
    <row r="70">
      <c r="A70" t="inlineStr">
        <is>
          <t>I17_CLAIM_RATIO</t>
        </is>
      </c>
      <c r="B70" t="inlineStr">
        <is>
          <t>Input_IFRS17_Detail</t>
        </is>
      </c>
      <c r="C70" t="inlineStr">
        <is>
          <t>Claim ratio (if disclosed)</t>
        </is>
      </c>
      <c r="D70" t="inlineStr">
        <is>
          <t>Operasional</t>
        </is>
      </c>
    </row>
    <row r="71">
      <c r="A71" t="inlineStr">
        <is>
          <t>I17_CESSION</t>
        </is>
      </c>
      <c r="B71" t="inlineStr">
        <is>
          <t>Input_IFRS17_Detail</t>
        </is>
      </c>
      <c r="C71" t="inlineStr">
        <is>
          <t>Reinsurance cession ratio (if disclosed)</t>
        </is>
      </c>
      <c r="D71" t="inlineStr">
        <is>
          <t>Operasional</t>
        </is>
      </c>
    </row>
    <row r="72">
      <c r="A72" t="inlineStr">
        <is>
          <t>I17_DISC_RATE</t>
        </is>
      </c>
      <c r="B72" t="inlineStr">
        <is>
          <t>Input_IFRS17_Detail</t>
        </is>
      </c>
      <c r="C72" t="inlineStr">
        <is>
          <t>Discount rate / locked-in rate (avg)</t>
        </is>
      </c>
      <c r="D72" t="inlineStr">
        <is>
          <t>Operasional</t>
        </is>
      </c>
    </row>
    <row r="73">
      <c r="A73" t="inlineStr">
        <is>
          <t>I9_FVTPL</t>
        </is>
      </c>
      <c r="B73" t="inlineStr">
        <is>
          <t>Input_IFRS9_Detail</t>
        </is>
      </c>
      <c r="C73" t="inlineStr">
        <is>
          <t>FVTPL carrying amount</t>
        </is>
      </c>
      <c r="D73" t="inlineStr">
        <is>
          <t>Aset keuangan</t>
        </is>
      </c>
    </row>
    <row r="74">
      <c r="A74" t="inlineStr">
        <is>
          <t>I9_FVOCI_DEBT</t>
        </is>
      </c>
      <c r="B74" t="inlineStr">
        <is>
          <t>Input_IFRS9_Detail</t>
        </is>
      </c>
      <c r="C74" t="inlineStr">
        <is>
          <t>FVOCI debt instruments carrying amount</t>
        </is>
      </c>
      <c r="D74" t="inlineStr">
        <is>
          <t>Aset keuangan</t>
        </is>
      </c>
    </row>
    <row r="75">
      <c r="A75" t="inlineStr">
        <is>
          <t>I9_FVOCI_EQ</t>
        </is>
      </c>
      <c r="B75" t="inlineStr">
        <is>
          <t>Input_IFRS9_Detail</t>
        </is>
      </c>
      <c r="C75" t="inlineStr">
        <is>
          <t>FVOCI equity instruments carrying amount</t>
        </is>
      </c>
      <c r="D75" t="inlineStr">
        <is>
          <t>Aset keuangan</t>
        </is>
      </c>
    </row>
    <row r="76">
      <c r="A76" t="inlineStr">
        <is>
          <t>I9_AC_DEBT</t>
        </is>
      </c>
      <c r="B76" t="inlineStr">
        <is>
          <t>Input_IFRS9_Detail</t>
        </is>
      </c>
      <c r="C76" t="inlineStr">
        <is>
          <t>Amortised cost debt instruments carrying amount</t>
        </is>
      </c>
      <c r="D76" t="inlineStr">
        <is>
          <t>Aset keuangan</t>
        </is>
      </c>
    </row>
    <row r="77">
      <c r="A77" t="inlineStr">
        <is>
          <t>I9_LOANS</t>
        </is>
      </c>
      <c r="B77" t="inlineStr">
        <is>
          <t>Input_IFRS9_Detail</t>
        </is>
      </c>
      <c r="C77" t="inlineStr">
        <is>
          <t>Loans and receivables carrying amount</t>
        </is>
      </c>
      <c r="D77" t="inlineStr">
        <is>
          <t>Aset keuangan</t>
        </is>
      </c>
    </row>
    <row r="78">
      <c r="A78" t="inlineStr">
        <is>
          <t>I9_STAGE1_EXP</t>
        </is>
      </c>
      <c r="B78" t="inlineStr">
        <is>
          <t>Input_IFRS9_Detail</t>
        </is>
      </c>
      <c r="C78" t="inlineStr">
        <is>
          <t>Stage 1 gross exposure</t>
        </is>
      </c>
      <c r="D78" t="inlineStr">
        <is>
          <t>ECL</t>
        </is>
      </c>
    </row>
    <row r="79">
      <c r="A79" t="inlineStr">
        <is>
          <t>I9_STAGE2_EXP</t>
        </is>
      </c>
      <c r="B79" t="inlineStr">
        <is>
          <t>Input_IFRS9_Detail</t>
        </is>
      </c>
      <c r="C79" t="inlineStr">
        <is>
          <t>Stage 2 gross exposure</t>
        </is>
      </c>
      <c r="D79" t="inlineStr">
        <is>
          <t>ECL</t>
        </is>
      </c>
    </row>
    <row r="80">
      <c r="A80" t="inlineStr">
        <is>
          <t>I9_STAGE3_EXP</t>
        </is>
      </c>
      <c r="B80" t="inlineStr">
        <is>
          <t>Input_IFRS9_Detail</t>
        </is>
      </c>
      <c r="C80" t="inlineStr">
        <is>
          <t>Stage 3 gross exposure</t>
        </is>
      </c>
      <c r="D80" t="inlineStr">
        <is>
          <t>ECL</t>
        </is>
      </c>
    </row>
    <row r="81">
      <c r="A81" t="inlineStr">
        <is>
          <t>I9_STAGE1_ALL</t>
        </is>
      </c>
      <c r="B81" t="inlineStr">
        <is>
          <t>Input_IFRS9_Detail</t>
        </is>
      </c>
      <c r="C81" t="inlineStr">
        <is>
          <t>Stage 1 allowance</t>
        </is>
      </c>
      <c r="D81" t="inlineStr">
        <is>
          <t>ECL</t>
        </is>
      </c>
    </row>
    <row r="82">
      <c r="A82" t="inlineStr">
        <is>
          <t>I9_STAGE2_ALL</t>
        </is>
      </c>
      <c r="B82" t="inlineStr">
        <is>
          <t>Input_IFRS9_Detail</t>
        </is>
      </c>
      <c r="C82" t="inlineStr">
        <is>
          <t>Stage 2 allowance</t>
        </is>
      </c>
      <c r="D82" t="inlineStr">
        <is>
          <t>ECL</t>
        </is>
      </c>
    </row>
    <row r="83">
      <c r="A83" t="inlineStr">
        <is>
          <t>I9_STAGE3_ALL</t>
        </is>
      </c>
      <c r="B83" t="inlineStr">
        <is>
          <t>Input_IFRS9_Detail</t>
        </is>
      </c>
      <c r="C83" t="inlineStr">
        <is>
          <t>Stage 3 allowance</t>
        </is>
      </c>
      <c r="D83" t="inlineStr">
        <is>
          <t>ECL</t>
        </is>
      </c>
    </row>
    <row r="84">
      <c r="A84" t="inlineStr">
        <is>
          <t>I9_LOWRISK</t>
        </is>
      </c>
      <c r="B84" t="inlineStr">
        <is>
          <t>Input_IFRS9_Detail</t>
        </is>
      </c>
      <c r="C84" t="inlineStr">
        <is>
          <t>Low credit risk exposure</t>
        </is>
      </c>
      <c r="D84" t="inlineStr">
        <is>
          <t>Kualitas aset</t>
        </is>
      </c>
    </row>
    <row r="85">
      <c r="A85" t="inlineStr">
        <is>
          <t>I9_CREDIT_IMP</t>
        </is>
      </c>
      <c r="B85" t="inlineStr">
        <is>
          <t>Input_IFRS9_Detail</t>
        </is>
      </c>
      <c r="C85" t="inlineStr">
        <is>
          <t>Credit-impaired exposure</t>
        </is>
      </c>
      <c r="D85" t="inlineStr">
        <is>
          <t>Kualitas aset</t>
        </is>
      </c>
    </row>
    <row r="86">
      <c r="A86" t="inlineStr">
        <is>
          <t>I9_WRITEOFF</t>
        </is>
      </c>
      <c r="B86" t="inlineStr">
        <is>
          <t>Input_IFRS9_Detail</t>
        </is>
      </c>
      <c r="C86" t="inlineStr">
        <is>
          <t>Write-offs during year</t>
        </is>
      </c>
      <c r="D86" t="inlineStr">
        <is>
          <t>Kualitas aset</t>
        </is>
      </c>
    </row>
    <row r="87">
      <c r="A87" t="inlineStr">
        <is>
          <t>I9_RECOVERY</t>
        </is>
      </c>
      <c r="B87" t="inlineStr">
        <is>
          <t>Input_IFRS9_Detail</t>
        </is>
      </c>
      <c r="C87" t="inlineStr">
        <is>
          <t>Recovery of written-off assets</t>
        </is>
      </c>
      <c r="D87" t="inlineStr">
        <is>
          <t>Kualitas aset</t>
        </is>
      </c>
    </row>
    <row r="88">
      <c r="A88" t="inlineStr">
        <is>
          <t>I9_FVOCI_RES</t>
        </is>
      </c>
      <c r="B88" t="inlineStr">
        <is>
          <t>Input_IFRS9_Detail</t>
        </is>
      </c>
      <c r="C88" t="inlineStr">
        <is>
          <t>FVOCI reserve closing</t>
        </is>
      </c>
      <c r="D88" t="inlineStr">
        <is>
          <t>OCI</t>
        </is>
      </c>
    </row>
    <row r="89">
      <c r="A89" t="inlineStr">
        <is>
          <t>I9_FVTPL_PL</t>
        </is>
      </c>
      <c r="B89" t="inlineStr">
        <is>
          <t>Input_IFRS9_Detail</t>
        </is>
      </c>
      <c r="C89" t="inlineStr">
        <is>
          <t>Fair value gain/(loss) on FVTPL recognised in P/L</t>
        </is>
      </c>
      <c r="D89" t="inlineStr">
        <is>
          <t>P/L</t>
        </is>
      </c>
    </row>
    <row r="90">
      <c r="A90" t="inlineStr">
        <is>
          <t>I9_INV_INC</t>
        </is>
      </c>
      <c r="B90" t="inlineStr">
        <is>
          <t>Input_IFRS9_Detail</t>
        </is>
      </c>
      <c r="C90" t="inlineStr">
        <is>
          <t>Investment income on financial assets</t>
        </is>
      </c>
      <c r="D90" t="inlineStr">
        <is>
          <t>P/L</t>
        </is>
      </c>
    </row>
    <row r="91">
      <c r="A91" t="inlineStr">
        <is>
          <t>I9_AVG_INV</t>
        </is>
      </c>
      <c r="B91" t="inlineStr">
        <is>
          <t>Input_IFRS9_Detail</t>
        </is>
      </c>
      <c r="C91" t="inlineStr">
        <is>
          <t>Average investment assets</t>
        </is>
      </c>
      <c r="D91" t="inlineStr">
        <is>
          <t>P/L</t>
        </is>
      </c>
    </row>
    <row r="92">
      <c r="A92" t="inlineStr">
        <is>
          <t>I9_DURATION</t>
        </is>
      </c>
      <c r="B92" t="inlineStr">
        <is>
          <t>Input_IFRS9_Detail</t>
        </is>
      </c>
      <c r="C92" t="inlineStr">
        <is>
          <t>Interest rate duration / sensitivity (years)</t>
        </is>
      </c>
      <c r="D92" t="inlineStr">
        <is>
          <t>Sensitivitas</t>
        </is>
      </c>
    </row>
    <row r="93">
      <c r="A93" t="inlineStr">
        <is>
          <t>CF_OPER</t>
        </is>
      </c>
      <c r="B93" t="inlineStr">
        <is>
          <t>Input_CF</t>
        </is>
      </c>
      <c r="C93" t="inlineStr">
        <is>
          <t>Net operating cash flow</t>
        </is>
      </c>
      <c r="D93" t="inlineStr">
        <is>
          <t>Cash flow</t>
        </is>
      </c>
    </row>
    <row r="94">
      <c r="A94" t="inlineStr">
        <is>
          <t>CF_INVEST</t>
        </is>
      </c>
      <c r="B94" t="inlineStr">
        <is>
          <t>Input_CF</t>
        </is>
      </c>
      <c r="C94" t="inlineStr">
        <is>
          <t>Net investing cash flow</t>
        </is>
      </c>
      <c r="D94" t="inlineStr">
        <is>
          <t>Cash flow</t>
        </is>
      </c>
    </row>
    <row r="95">
      <c r="A95" t="inlineStr">
        <is>
          <t>CF_FIN</t>
        </is>
      </c>
      <c r="B95" t="inlineStr">
        <is>
          <t>Input_CF</t>
        </is>
      </c>
      <c r="C95" t="inlineStr">
        <is>
          <t>Net financing cash flow</t>
        </is>
      </c>
      <c r="D95" t="inlineStr">
        <is>
          <t>Cash flow</t>
        </is>
      </c>
    </row>
    <row r="96">
      <c r="A96" t="inlineStr">
        <is>
          <t>CF_OTHER</t>
        </is>
      </c>
      <c r="B96" t="inlineStr">
        <is>
          <t>Input_CF</t>
        </is>
      </c>
      <c r="C96" t="inlineStr">
        <is>
          <t>FX/other reconciling item</t>
        </is>
      </c>
      <c r="D96" t="inlineStr">
        <is>
          <t>Cash flow</t>
        </is>
      </c>
    </row>
    <row r="97">
      <c r="A97" t="inlineStr">
        <is>
          <t>CF_BEGIN</t>
        </is>
      </c>
      <c r="B97" t="inlineStr">
        <is>
          <t>Input_CF</t>
        </is>
      </c>
      <c r="C97" t="inlineStr">
        <is>
          <t>Opening cash</t>
        </is>
      </c>
      <c r="D97" t="inlineStr">
        <is>
          <t>Cash flow</t>
        </is>
      </c>
    </row>
    <row r="98">
      <c r="A98" t="inlineStr">
        <is>
          <t>DETAIL_ONLY</t>
        </is>
      </c>
      <c r="B98" t="inlineStr">
        <is>
          <t>RAW sheets only</t>
        </is>
      </c>
      <c r="C98" t="inlineStr">
        <is>
          <t>Stored for reference, excluded from summary</t>
        </is>
      </c>
      <c r="D98" t="inlineStr">
        <is>
          <t>Any audited line item</t>
        </is>
      </c>
      <c r="E98" t="inlineStr">
        <is>
          <t>Use G='N' or code DETAIL_ONLY</t>
        </is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4" customWidth="1" min="5" max="5"/>
    <col width="20" customWidth="1" min="6" max="6"/>
    <col width="18" customWidth="1" min="7" max="7"/>
    <col width="24" customWidth="1" min="8" max="8"/>
  </cols>
  <sheetData>
    <row r="1" ht="24" customHeight="1">
      <c r="A1" s="10" t="inlineStr">
        <is>
          <t>RASIO KEUANGAN OTOMATIS – ASURANSI JIWA</t>
        </is>
      </c>
    </row>
    <row r="2">
      <c r="A2" s="12" t="inlineStr">
        <is>
          <t>Kategori</t>
        </is>
      </c>
      <c r="B2" s="12" t="inlineStr">
        <is>
          <t>Rasio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Threshold / target</t>
        </is>
      </c>
      <c r="G2" s="12" t="inlineStr">
        <is>
          <t>Status</t>
        </is>
      </c>
      <c r="H2" s="12" t="inlineStr">
        <is>
          <t>Catatan</t>
        </is>
      </c>
    </row>
    <row r="3">
      <c r="A3" s="11" t="inlineStr">
        <is>
          <t>Profitabilitas</t>
        </is>
      </c>
      <c r="B3" s="11" t="inlineStr">
        <is>
          <t>ROA</t>
        </is>
      </c>
      <c r="C3" s="15">
        <f>IFERROR(Input_PL_OCI!C16/Input_SFP!C18,"")</f>
        <v/>
      </c>
      <c r="D3" s="15">
        <f>IFERROR(Input_PL_OCI!D16/Input_SFP!D18,"")</f>
        <v/>
      </c>
      <c r="E3" s="15">
        <f>IFERROR(Input_PL_OCI!E16/Input_SFP!E18,"")</f>
        <v/>
      </c>
      <c r="F3" s="11" t="inlineStr">
        <is>
          <t>&gt;=Setup!B15</t>
        </is>
      </c>
      <c r="G3" s="11">
        <f>IF(OR(C3="",ISBLANK(C3)),"NO DATA",IF(C3&gt;=Setup!B15,"OK","Perlu perhatian"))</f>
        <v/>
      </c>
      <c r="H3" s="11" t="n"/>
    </row>
    <row r="4">
      <c r="A4" s="11" t="inlineStr">
        <is>
          <t>Profitabilitas</t>
        </is>
      </c>
      <c r="B4" s="11" t="inlineStr">
        <is>
          <t>ROE</t>
        </is>
      </c>
      <c r="C4" s="15">
        <f>IFERROR(Input_PL_OCI!C16/Input_SFP!C34,"")</f>
        <v/>
      </c>
      <c r="D4" s="15">
        <f>IFERROR(Input_PL_OCI!D16/Input_SFP!D34,"")</f>
        <v/>
      </c>
      <c r="E4" s="15">
        <f>IFERROR(Input_PL_OCI!E16/Input_SFP!E34,"")</f>
        <v/>
      </c>
      <c r="F4" s="11" t="inlineStr">
        <is>
          <t>&gt;=Setup!B16</t>
        </is>
      </c>
      <c r="G4" s="11">
        <f>IF(OR(C4="",ISBLANK(C4)),"NO DATA",IF(C4&gt;=Setup!B16,"OK","Perlu perhatian"))</f>
        <v/>
      </c>
      <c r="H4" s="11" t="n"/>
    </row>
    <row r="5">
      <c r="A5" s="11" t="inlineStr">
        <is>
          <t>Leverage</t>
        </is>
      </c>
      <c r="B5" s="11" t="inlineStr">
        <is>
          <t>Liabilities / Equity</t>
        </is>
      </c>
      <c r="C5" s="21">
        <f>IFERROR(Input_SFP!C26/Input_SFP!C34,"")</f>
        <v/>
      </c>
      <c r="D5" s="21">
        <f>IFERROR(Input_SFP!D26/Input_SFP!D34,"")</f>
        <v/>
      </c>
      <c r="E5" s="21">
        <f>IFERROR(Input_SFP!E26/Input_SFP!E34,"")</f>
        <v/>
      </c>
      <c r="F5" s="11" t="inlineStr">
        <is>
          <t>&lt;=Setup!B14</t>
        </is>
      </c>
      <c r="G5" s="11">
        <f>IF(OR(C5="",ISBLANK(C5)),"NO DATA",IF(C5&lt;=Setup!B14,"OK","Perlu perhatian"))</f>
        <v/>
      </c>
      <c r="H5" s="11" t="n"/>
    </row>
    <row r="6">
      <c r="A6" s="11" t="inlineStr">
        <is>
          <t>Likuiditas</t>
        </is>
      </c>
      <c r="B6" s="11" t="inlineStr">
        <is>
          <t>Cash / Liabilities</t>
        </is>
      </c>
      <c r="C6" s="15">
        <f>IFERROR(Input_SFP!C3/Input_SFP!C26,"")</f>
        <v/>
      </c>
      <c r="D6" s="15">
        <f>IFERROR(Input_SFP!D3/Input_SFP!D26,"")</f>
        <v/>
      </c>
      <c r="E6" s="15">
        <f>IFERROR(Input_SFP!E3/Input_SFP!E26,"")</f>
        <v/>
      </c>
      <c r="F6" s="11" t="inlineStr">
        <is>
          <t>&gt;=Setup!B13</t>
        </is>
      </c>
      <c r="G6" s="11">
        <f>IF(OR(C6="",ISBLANK(C6)),"NO DATA",IF(C6&gt;=Setup!B13,"OK","Perlu perhatian"))</f>
        <v/>
      </c>
      <c r="H6" s="11" t="n"/>
    </row>
    <row r="7">
      <c r="A7" s="11" t="inlineStr">
        <is>
          <t>IFRS17</t>
        </is>
      </c>
      <c r="B7" s="11" t="inlineStr">
        <is>
          <t>Claim ratio</t>
        </is>
      </c>
      <c r="C7" s="15">
        <f>IFERROR(Input_IFRS17_Detail!C34,"")</f>
        <v/>
      </c>
      <c r="D7" s="15">
        <f>IFERROR(Input_IFRS17_Detail!D34,"")</f>
        <v/>
      </c>
      <c r="E7" s="15">
        <f>IFERROR(Input_IFRS17_Detail!E34,"")</f>
        <v/>
      </c>
      <c r="F7" s="11" t="inlineStr">
        <is>
          <t>&lt;=Setup!B17</t>
        </is>
      </c>
      <c r="G7" s="11">
        <f>IF(OR(C7="",ISBLANK(C7)),"NO DATA",IF(C7&lt;=Setup!B17,"OK","Perlu perhatian"))</f>
        <v/>
      </c>
      <c r="H7" s="11" t="n"/>
    </row>
    <row r="8">
      <c r="A8" s="11" t="inlineStr">
        <is>
          <t>IFRS17</t>
        </is>
      </c>
      <c r="B8" s="11" t="inlineStr">
        <is>
          <t>CSM / Equity</t>
        </is>
      </c>
      <c r="C8" s="15">
        <f>IFERROR(Input_IFRS17_Detail!C33,"")</f>
        <v/>
      </c>
      <c r="D8" s="15">
        <f>IFERROR(Input_IFRS17_Detail!D33,"")</f>
        <v/>
      </c>
      <c r="E8" s="15">
        <f>IFERROR(Input_IFRS17_Detail!E33,"")</f>
        <v/>
      </c>
      <c r="F8" s="11" t="inlineStr">
        <is>
          <t>&gt;=Setup!B25</t>
        </is>
      </c>
      <c r="G8" s="11">
        <f>IF(OR(C8="",ISBLANK(C8)),"NO DATA",IF(C8&gt;=Setup!B25,"OK","Perlu perhatian"))</f>
        <v/>
      </c>
      <c r="H8" s="11" t="n"/>
    </row>
    <row r="9">
      <c r="A9" s="11" t="inlineStr">
        <is>
          <t>IFRS17</t>
        </is>
      </c>
      <c r="B9" s="11" t="inlineStr">
        <is>
          <t>Reinsurance cession ratio</t>
        </is>
      </c>
      <c r="C9" s="15">
        <f>IFERROR(Input_IFRS17_Detail!C31,"")</f>
        <v/>
      </c>
      <c r="D9" s="15">
        <f>IFERROR(Input_IFRS17_Detail!D31,"")</f>
        <v/>
      </c>
      <c r="E9" s="15">
        <f>IFERROR(Input_IFRS17_Detail!E31,"")</f>
        <v/>
      </c>
      <c r="F9" s="11" t="inlineStr">
        <is>
          <t>&lt;=Setup!B27</t>
        </is>
      </c>
      <c r="G9" s="11">
        <f>IF(OR(C9="",ISBLANK(C9)),"NO DATA",IF(C9&lt;=Setup!B27,"OK","Perlu perhatian"))</f>
        <v/>
      </c>
      <c r="H9" s="11" t="n"/>
    </row>
    <row r="10">
      <c r="A10" s="11" t="inlineStr">
        <is>
          <t>IFRS9</t>
        </is>
      </c>
      <c r="B10" s="11" t="inlineStr">
        <is>
          <t>ECL coverage</t>
        </is>
      </c>
      <c r="C10" s="15">
        <f>IFERROR(Input_IFRS9_Detail!C16,"")</f>
        <v/>
      </c>
      <c r="D10" s="15">
        <f>IFERROR(Input_IFRS9_Detail!D16,"")</f>
        <v/>
      </c>
      <c r="E10" s="15">
        <f>IFERROR(Input_IFRS9_Detail!E16,"")</f>
        <v/>
      </c>
      <c r="F10" s="11" t="inlineStr">
        <is>
          <t>&gt;=Setup!B21</t>
        </is>
      </c>
      <c r="G10" s="11">
        <f>IF(OR(C10="",ISBLANK(C10)),"NO DATA",IF(C10&gt;=Setup!B21,"OK","Perlu perhatian"))</f>
        <v/>
      </c>
      <c r="H10" s="11" t="n"/>
    </row>
    <row r="11">
      <c r="A11" s="11" t="inlineStr">
        <is>
          <t>IFRS9</t>
        </is>
      </c>
      <c r="B11" s="11" t="inlineStr">
        <is>
          <t>Stage 2+3 ratio</t>
        </is>
      </c>
      <c r="C11" s="15">
        <f>IFERROR((Input_IFRS9_Detail!C10+Input_IFRS9_Detail!C11)/Input_IFRS9_Detail!C8,"")</f>
        <v/>
      </c>
      <c r="D11" s="15">
        <f>IFERROR((Input_IFRS9_Detail!D10+Input_IFRS9_Detail!D11)/Input_IFRS9_Detail!D8,"")</f>
        <v/>
      </c>
      <c r="E11" s="15">
        <f>IFERROR((Input_IFRS9_Detail!E10+Input_IFRS9_Detail!E11)/Input_IFRS9_Detail!E8,"")</f>
        <v/>
      </c>
      <c r="F11" s="11" t="inlineStr">
        <is>
          <t>&lt;=Setup!B22</t>
        </is>
      </c>
      <c r="G11" s="11">
        <f>IF(OR(C11="",ISBLANK(C11)),"NO DATA",IF(C11&lt;=Setup!B22,"OK","Perlu perhatian"))</f>
        <v/>
      </c>
      <c r="H11" s="11" t="n"/>
    </row>
    <row r="12">
      <c r="A12" s="11" t="inlineStr">
        <is>
          <t>Arus kas</t>
        </is>
      </c>
      <c r="B12" s="11" t="inlineStr">
        <is>
          <t>OCF / Profit</t>
        </is>
      </c>
      <c r="C12" s="15">
        <f>IFERROR(Input_CF!C3/Input_PL_OCI!C16,"")</f>
        <v/>
      </c>
      <c r="D12" s="15">
        <f>IFERROR(Input_CF!D3/Input_PL_OCI!D16,"")</f>
        <v/>
      </c>
      <c r="E12" s="15">
        <f>IFERROR(Input_CF!E3/Input_PL_OCI!E16,"")</f>
        <v/>
      </c>
      <c r="F12" s="11" t="inlineStr">
        <is>
          <t>&gt;=Setup!B23</t>
        </is>
      </c>
      <c r="G12" s="11">
        <f>IF(OR(C12="",ISBLANK(C12)),"NO DATA",IF(C12&gt;=Setup!B23,"OK","Perlu perhatian"))</f>
        <v/>
      </c>
      <c r="H12" s="11" t="n"/>
    </row>
    <row r="13">
      <c r="A13" s="11" t="inlineStr">
        <is>
          <t>Arus kas</t>
        </is>
      </c>
      <c r="B13" s="11" t="inlineStr">
        <is>
          <t>Ending cash vs SFP cash</t>
        </is>
      </c>
      <c r="C13" s="15">
        <f>IFERROR(Input_CF!C9/Input_SFP!C3,"")</f>
        <v/>
      </c>
      <c r="D13" s="15">
        <f>IFERROR(Input_CF!D9/Input_SFP!D3,"")</f>
        <v/>
      </c>
      <c r="E13" s="15">
        <f>IFERROR(Input_CF!E9/Input_SFP!E3,"")</f>
        <v/>
      </c>
      <c r="F13" s="11">
        <f>1</f>
        <v/>
      </c>
      <c r="G13" s="11">
        <f>IF(OR(C13="",ISBLANK(C13)),"NO DATA",IF(ABS(C13-1)&lt;0.0001,"OK","Perlu rekonsiliasi"))</f>
        <v/>
      </c>
      <c r="H13" s="11" t="n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6" customWidth="1" min="7" max="7"/>
    <col width="26" customWidth="1" min="8" max="8"/>
  </cols>
  <sheetData>
    <row r="1" ht="24" customHeight="1">
      <c r="A1" s="10" t="inlineStr">
        <is>
          <t>COMMON SIZE &amp; TREND 3 TAHUN</t>
        </is>
      </c>
    </row>
    <row r="2">
      <c r="A2" s="12" t="inlineStr">
        <is>
          <t>Metric</t>
        </is>
      </c>
      <c r="B2" s="12" t="inlineStr">
        <is>
          <t>CY</t>
        </is>
      </c>
      <c r="C2" s="12" t="inlineStr">
        <is>
          <t>PY</t>
        </is>
      </c>
      <c r="D2" s="12" t="inlineStr">
        <is>
          <t>PPY</t>
        </is>
      </c>
      <c r="E2" s="12" t="inlineStr">
        <is>
          <t>Growth CY vs PY</t>
        </is>
      </c>
      <c r="F2" s="12" t="inlineStr">
        <is>
          <t>Share / ratio CY</t>
        </is>
      </c>
      <c r="G2" s="12" t="inlineStr">
        <is>
          <t>Share / ratio PY</t>
        </is>
      </c>
      <c r="H2" s="12" t="inlineStr">
        <is>
          <t>Comment</t>
        </is>
      </c>
    </row>
    <row r="3">
      <c r="A3" s="11" t="inlineStr">
        <is>
          <t>Total assets</t>
        </is>
      </c>
      <c r="B3" s="22">
        <f>Input_SFP!C18</f>
        <v/>
      </c>
      <c r="C3" s="22">
        <f>Input_SFP!D18</f>
        <v/>
      </c>
      <c r="D3" s="22">
        <f>Input_SFP!E18</f>
        <v/>
      </c>
      <c r="E3" s="22">
        <f>IFERROR((B3/C3)-1,"")</f>
        <v/>
      </c>
      <c r="F3" s="22">
        <f>1</f>
        <v/>
      </c>
      <c r="G3" s="22">
        <f>1</f>
        <v/>
      </c>
      <c r="H3" s="11" t="inlineStr">
        <is>
          <t>Scale</t>
        </is>
      </c>
    </row>
    <row r="4">
      <c r="A4" s="11" t="inlineStr">
        <is>
          <t>Total liabilities</t>
        </is>
      </c>
      <c r="B4" s="22">
        <f>Input_SFP!C26</f>
        <v/>
      </c>
      <c r="C4" s="22">
        <f>Input_SFP!D26</f>
        <v/>
      </c>
      <c r="D4" s="22">
        <f>Input_SFP!E26</f>
        <v/>
      </c>
      <c r="E4" s="22">
        <f>IFERROR((B4/C4)-1,"")</f>
        <v/>
      </c>
      <c r="F4" s="22">
        <f>IFERROR(B4/Input_SFP!C18,"")</f>
        <v/>
      </c>
      <c r="G4" s="22">
        <f>IFERROR(C4/Input_SFP!D18,"")</f>
        <v/>
      </c>
      <c r="H4" s="11" t="inlineStr">
        <is>
          <t>Balance sheet share</t>
        </is>
      </c>
    </row>
    <row r="5">
      <c r="A5" s="11" t="inlineStr">
        <is>
          <t>Total equity</t>
        </is>
      </c>
      <c r="B5" s="22">
        <f>Input_SFP!C34</f>
        <v/>
      </c>
      <c r="C5" s="22">
        <f>Input_SFP!D34</f>
        <v/>
      </c>
      <c r="D5" s="22">
        <f>Input_SFP!E34</f>
        <v/>
      </c>
      <c r="E5" s="22">
        <f>IFERROR((B5/C5)-1,"")</f>
        <v/>
      </c>
      <c r="F5" s="22">
        <f>IFERROR(B5/Input_SFP!C18,"")</f>
        <v/>
      </c>
      <c r="G5" s="22">
        <f>IFERROR(C5/Input_SFP!D18,"")</f>
        <v/>
      </c>
      <c r="H5" s="11" t="inlineStr">
        <is>
          <t>Capital base</t>
        </is>
      </c>
    </row>
    <row r="6">
      <c r="A6" s="11" t="inlineStr">
        <is>
          <t>Profit for the year</t>
        </is>
      </c>
      <c r="B6" s="22">
        <f>Input_PL_OCI!C16</f>
        <v/>
      </c>
      <c r="C6" s="22">
        <f>Input_PL_OCI!D16</f>
        <v/>
      </c>
      <c r="D6" s="22">
        <f>Input_PL_OCI!E16</f>
        <v/>
      </c>
      <c r="E6" s="22">
        <f>IFERROR((B6/C6)-1,"")</f>
        <v/>
      </c>
      <c r="F6" s="22">
        <f>IFERROR(B6/Input_SFP!C34,"")</f>
        <v/>
      </c>
      <c r="G6" s="22">
        <f>IFERROR(C6/Input_SFP!D34,"")</f>
        <v/>
      </c>
      <c r="H6" s="11" t="inlineStr">
        <is>
          <t>ROE cross-check</t>
        </is>
      </c>
    </row>
    <row r="7">
      <c r="A7" s="11" t="inlineStr">
        <is>
          <t>Comprehensive income</t>
        </is>
      </c>
      <c r="B7" s="22">
        <f>Input_PL_OCI!C21</f>
        <v/>
      </c>
      <c r="C7" s="22">
        <f>Input_PL_OCI!D21</f>
        <v/>
      </c>
      <c r="D7" s="22">
        <f>Input_PL_OCI!E21</f>
        <v/>
      </c>
      <c r="E7" s="22">
        <f>IFERROR((B7/C7)-1,"")</f>
        <v/>
      </c>
      <c r="F7" s="22">
        <f>IFERROR(B7/Input_SFP!C34,"")</f>
        <v/>
      </c>
      <c r="G7" s="22">
        <f>IFERROR(C7/Input_SFP!D34,"")</f>
        <v/>
      </c>
      <c r="H7" s="11" t="inlineStr">
        <is>
          <t>OCI volatility</t>
        </is>
      </c>
    </row>
    <row r="8">
      <c r="A8" s="11" t="inlineStr">
        <is>
          <t>Cash / assets</t>
        </is>
      </c>
      <c r="B8" s="15">
        <f>IFERROR(Input_SFP!C3/Input_SFP!C18,"")</f>
        <v/>
      </c>
      <c r="C8" s="15">
        <f>IFERROR(Input_SFP!D3/Input_SFP!D18,"")</f>
        <v/>
      </c>
      <c r="D8" s="15">
        <f>IFERROR(Input_SFP!E3/Input_SFP!E18,"")</f>
        <v/>
      </c>
      <c r="E8" s="15">
        <f>IFERROR((B8/C8)-1,"")</f>
        <v/>
      </c>
      <c r="F8" s="15">
        <f>B8</f>
        <v/>
      </c>
      <c r="G8" s="15">
        <f>C8</f>
        <v/>
      </c>
      <c r="H8" s="11" t="inlineStr">
        <is>
          <t>Liquidity</t>
        </is>
      </c>
    </row>
    <row r="9">
      <c r="A9" s="11" t="inlineStr">
        <is>
          <t>Investments / assets</t>
        </is>
      </c>
      <c r="B9" s="15">
        <f>IFERROR((Input_SFP!C5+Input_SFP!C6+Input_SFP!C7+Input_SFP!C8)/Input_SFP!C18,"")</f>
        <v/>
      </c>
      <c r="C9" s="15">
        <f>IFERROR((Input_SFP!D5+Input_SFP!D6+Input_SFP!D7+Input_SFP!D8)/Input_SFP!D18,"")</f>
        <v/>
      </c>
      <c r="D9" s="15">
        <f>IFERROR((Input_SFP!E5+Input_SFP!E6+Input_SFP!E7+Input_SFP!E8)/Input_SFP!E18,"")</f>
        <v/>
      </c>
      <c r="E9" s="15">
        <f>IFERROR((B9/C9)-1,"")</f>
        <v/>
      </c>
      <c r="F9" s="15">
        <f>B9</f>
        <v/>
      </c>
      <c r="G9" s="15">
        <f>C9</f>
        <v/>
      </c>
      <c r="H9" s="11" t="inlineStr">
        <is>
          <t>Investment intensity</t>
        </is>
      </c>
    </row>
    <row r="10">
      <c r="A10" s="11" t="inlineStr">
        <is>
          <t>Insurance liabilities / total liabilities</t>
        </is>
      </c>
      <c r="B10" s="15">
        <f>IFERROR(Input_SFP!C19/Input_SFP!C26,"")</f>
        <v/>
      </c>
      <c r="C10" s="15">
        <f>IFERROR(Input_SFP!D19/Input_SFP!D26,"")</f>
        <v/>
      </c>
      <c r="D10" s="15">
        <f>IFERROR(Input_SFP!E19/Input_SFP!E26,"")</f>
        <v/>
      </c>
      <c r="E10" s="15">
        <f>IFERROR((B10/C10)-1,"")</f>
        <v/>
      </c>
      <c r="F10" s="15">
        <f>B10</f>
        <v/>
      </c>
      <c r="G10" s="15">
        <f>C10</f>
        <v/>
      </c>
      <c r="H10" s="11" t="inlineStr">
        <is>
          <t>Technical liability share</t>
        </is>
      </c>
    </row>
    <row r="11">
      <c r="A11" s="11" t="inlineStr">
        <is>
          <t>CSM / equity</t>
        </is>
      </c>
      <c r="B11" s="15">
        <f>IFERROR(Input_IFRS17_Detail!C31,"")</f>
        <v/>
      </c>
      <c r="C11" s="15">
        <f>IFERROR(Input_IFRS17_Detail!D31,"")</f>
        <v/>
      </c>
      <c r="D11" s="15">
        <f>IFERROR(Input_IFRS17_Detail!E31,"")</f>
        <v/>
      </c>
      <c r="E11" s="15">
        <f>IFERROR((B11/C11)-1,"")</f>
        <v/>
      </c>
      <c r="F11" s="15">
        <f>B11</f>
        <v/>
      </c>
      <c r="G11" s="15">
        <f>C11</f>
        <v/>
      </c>
      <c r="H11" s="11" t="inlineStr">
        <is>
          <t>Future profit buffer</t>
        </is>
      </c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4" customWidth="1" min="4" max="4"/>
    <col width="14" customWidth="1" min="5" max="5"/>
    <col width="28" customWidth="1" min="6" max="6"/>
    <col width="14" customWidth="1" min="7" max="7"/>
    <col width="26" customWidth="1" min="8" max="8"/>
  </cols>
  <sheetData>
    <row r="1" ht="24" customHeight="1">
      <c r="A1" s="10" t="inlineStr">
        <is>
          <t>IFRS 17 / PSAK 117 ANALYSIS – LIFE</t>
        </is>
      </c>
    </row>
    <row r="2">
      <c r="A2" s="12" t="inlineStr">
        <is>
          <t>Focus area</t>
        </is>
      </c>
      <c r="B2" s="12" t="inlineStr">
        <is>
          <t>Metric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Interpretation</t>
        </is>
      </c>
      <c r="G2" s="12" t="inlineStr">
        <is>
          <t>Flag</t>
        </is>
      </c>
      <c r="H2" s="12" t="inlineStr">
        <is>
          <t>Comment</t>
        </is>
      </c>
    </row>
    <row r="3">
      <c r="A3" s="11" t="inlineStr">
        <is>
          <t>Service result</t>
        </is>
      </c>
      <c r="B3" s="11" t="inlineStr">
        <is>
          <t>Insurance service result</t>
        </is>
      </c>
      <c r="C3" s="22">
        <f>Input_IFRS17_Detail!C9</f>
        <v/>
      </c>
      <c r="D3" s="22">
        <f>Input_IFRS17_Detail!D9</f>
        <v/>
      </c>
      <c r="E3" s="22">
        <f>Input_IFRS17_Detail!E9</f>
        <v/>
      </c>
      <c r="F3" s="11">
        <f>IF(C3&gt;=0,"Positif","Tertekan")</f>
        <v/>
      </c>
      <c r="G3" s="11">
        <f>IF(C3&gt;=0,"OK","Watch")</f>
        <v/>
      </c>
      <c r="H3" s="11" t="inlineStr">
        <is>
          <t>Core service margin</t>
        </is>
      </c>
    </row>
    <row r="4">
      <c r="A4" s="11" t="inlineStr">
        <is>
          <t>Finance result</t>
        </is>
      </c>
      <c r="B4" s="11" t="inlineStr">
        <is>
          <t>Insurance result after finance</t>
        </is>
      </c>
      <c r="C4" s="22">
        <f>Input_IFRS17_Detail!C12</f>
        <v/>
      </c>
      <c r="D4" s="22">
        <f>Input_IFRS17_Detail!D12</f>
        <v/>
      </c>
      <c r="E4" s="22">
        <f>Input_IFRS17_Detail!E12</f>
        <v/>
      </c>
      <c r="F4" s="11">
        <f>IF(C4&gt;=0,"Positif","Tertekan")</f>
        <v/>
      </c>
      <c r="G4" s="11">
        <f>IF(C4&gt;=0,"OK","Watch")</f>
        <v/>
      </c>
      <c r="H4" s="11" t="inlineStr">
        <is>
          <t>After finance</t>
        </is>
      </c>
    </row>
    <row r="5">
      <c r="A5" s="11" t="inlineStr">
        <is>
          <t>Contract liabilities</t>
        </is>
      </c>
      <c r="B5" s="11" t="inlineStr">
        <is>
          <t>Insurance contract liabilities</t>
        </is>
      </c>
      <c r="C5" s="22">
        <f>Input_IFRS17_Detail!C13</f>
        <v/>
      </c>
      <c r="D5" s="22">
        <f>Input_IFRS17_Detail!D13</f>
        <v/>
      </c>
      <c r="E5" s="22">
        <f>Input_IFRS17_Detail!E13</f>
        <v/>
      </c>
      <c r="F5" s="11">
        <f>IF(C5&gt;0,"Material","")</f>
        <v/>
      </c>
      <c r="G5" s="11" t="inlineStr">
        <is>
          <t>Info</t>
        </is>
      </c>
      <c r="H5" s="11" t="inlineStr">
        <is>
          <t>Scale</t>
        </is>
      </c>
    </row>
    <row r="6">
      <c r="A6" s="11" t="inlineStr">
        <is>
          <t>Risk adjustment</t>
        </is>
      </c>
      <c r="B6" s="11" t="inlineStr">
        <is>
          <t>RA / LIC</t>
        </is>
      </c>
      <c r="C6" s="15">
        <f>IFERROR(Input_IFRS17_Detail!C19/Input_IFRS17_Detail!C17,"")</f>
        <v/>
      </c>
      <c r="D6" s="15">
        <f>IFERROR(Input_IFRS17_Detail!D19/Input_IFRS17_Detail!D17,"")</f>
        <v/>
      </c>
      <c r="E6" s="15">
        <f>IFERROR(Input_IFRS17_Detail!E19/Input_IFRS17_Detail!E17,"")</f>
        <v/>
      </c>
      <c r="F6" s="11" t="inlineStr">
        <is>
          <t>Coverage of non-financial risk</t>
        </is>
      </c>
      <c r="G6" s="11" t="inlineStr">
        <is>
          <t>Info</t>
        </is>
      </c>
      <c r="H6" s="11" t="inlineStr"/>
    </row>
    <row r="7">
      <c r="A7" s="11" t="inlineStr">
        <is>
          <t>CSM</t>
        </is>
      </c>
      <c r="B7" s="11" t="inlineStr">
        <is>
          <t>Closing CSM</t>
        </is>
      </c>
      <c r="C7" s="15">
        <f>Input_IFRS17_Detail!C26</f>
        <v/>
      </c>
      <c r="D7" s="15">
        <f>Input_IFRS17_Detail!D26</f>
        <v/>
      </c>
      <c r="E7" s="15">
        <f>Input_IFRS17_Detail!E26</f>
        <v/>
      </c>
      <c r="F7" s="11">
        <f>IF(C7="","No data",IF(C7&gt;0,"Ada buffer CSM","Tidak ada buffer CSM"))</f>
        <v/>
      </c>
      <c r="G7" s="11">
        <f>IF(C7="","NO DATA",IF(C7&gt;0,"OK","Watch"))</f>
        <v/>
      </c>
      <c r="H7" s="11" t="inlineStr">
        <is>
          <t>Unearned profit</t>
        </is>
      </c>
    </row>
    <row r="8">
      <c r="A8" s="11" t="inlineStr">
        <is>
          <t>CSM</t>
        </is>
      </c>
      <c r="B8" s="11" t="inlineStr">
        <is>
          <t>CSM / equity</t>
        </is>
      </c>
      <c r="C8" s="15">
        <f>Input_IFRS17_Detail!C33</f>
        <v/>
      </c>
      <c r="D8" s="15">
        <f>Input_IFRS17_Detail!D33</f>
        <v/>
      </c>
      <c r="E8" s="15">
        <f>Input_IFRS17_Detail!E33</f>
        <v/>
      </c>
      <c r="F8" s="11">
        <f>IF(C8="","No data",IF(C8&gt;=Setup!B25,"Memadai","Tipis"))</f>
        <v/>
      </c>
      <c r="G8" s="11">
        <f>IF(C8="","NO DATA",IF(C8&gt;=Setup!B25,"OK","Watch"))</f>
        <v/>
      </c>
      <c r="H8" s="11" t="inlineStr">
        <is>
          <t>Capital support</t>
        </is>
      </c>
    </row>
    <row r="9">
      <c r="A9" s="11" t="inlineStr">
        <is>
          <t>Claims</t>
        </is>
      </c>
      <c r="B9" s="11" t="inlineStr">
        <is>
          <t>Derived claim ratio</t>
        </is>
      </c>
      <c r="C9" s="22">
        <f>Input_IFRS17_Detail!C34</f>
        <v/>
      </c>
      <c r="D9" s="22">
        <f>Input_IFRS17_Detail!D34</f>
        <v/>
      </c>
      <c r="E9" s="22">
        <f>Input_IFRS17_Detail!E34</f>
        <v/>
      </c>
      <c r="F9" s="11">
        <f>IF(C9="","No data",IF(C9&lt;=Setup!B17,"Terkendali","Tinggi"))</f>
        <v/>
      </c>
      <c r="G9" s="11">
        <f>IF(C9="","NO DATA",IF(C9&lt;=Setup!B17,"OK","Watch"))</f>
        <v/>
      </c>
      <c r="H9" s="11" t="inlineStr">
        <is>
          <t>Claims and benefits / revenue</t>
        </is>
      </c>
    </row>
    <row r="10">
      <c r="A10" s="11" t="inlineStr">
        <is>
          <t>Reinsurance</t>
        </is>
      </c>
      <c r="B10" s="11" t="inlineStr">
        <is>
          <t>Cession ratio</t>
        </is>
      </c>
      <c r="C10" s="22">
        <f>Input_IFRS17_Detail!C31</f>
        <v/>
      </c>
      <c r="D10" s="22">
        <f>Input_IFRS17_Detail!D31</f>
        <v/>
      </c>
      <c r="E10" s="22">
        <f>Input_IFRS17_Detail!E31</f>
        <v/>
      </c>
      <c r="F10" s="11">
        <f>IF(C10&lt;=Setup!B27,"Cession moderat","Ketergantungan reasuransi relatif tinggi")</f>
        <v/>
      </c>
      <c r="G10" s="11">
        <f>IF(C10&lt;=Setup!B27,"OK","Watch")</f>
        <v/>
      </c>
      <c r="H10" s="11" t="inlineStr">
        <is>
          <t>If disclosed</t>
        </is>
      </c>
    </row>
  </sheetData>
  <mergeCells count="1">
    <mergeCell ref="A1:H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4" customWidth="1" min="4" max="4"/>
    <col width="14" customWidth="1" min="5" max="5"/>
    <col width="30" customWidth="1" min="6" max="6"/>
    <col width="14" customWidth="1" min="7" max="7"/>
    <col width="26" customWidth="1" min="8" max="8"/>
  </cols>
  <sheetData>
    <row r="1" ht="24" customHeight="1">
      <c r="A1" s="10" t="inlineStr">
        <is>
          <t>IFRS 9 / PSAK 109 ANALYSIS</t>
        </is>
      </c>
    </row>
    <row r="2">
      <c r="A2" s="12" t="inlineStr">
        <is>
          <t>Focus area</t>
        </is>
      </c>
      <c r="B2" s="12" t="inlineStr">
        <is>
          <t>Metric</t>
        </is>
      </c>
      <c r="C2" s="12" t="inlineStr">
        <is>
          <t>CY</t>
        </is>
      </c>
      <c r="D2" s="12" t="inlineStr">
        <is>
          <t>PY</t>
        </is>
      </c>
      <c r="E2" s="12" t="inlineStr">
        <is>
          <t>PPY</t>
        </is>
      </c>
      <c r="F2" s="12" t="inlineStr">
        <is>
          <t>Interpretation</t>
        </is>
      </c>
      <c r="G2" s="12" t="inlineStr">
        <is>
          <t>Flag</t>
        </is>
      </c>
      <c r="H2" s="12" t="inlineStr">
        <is>
          <t>Comment</t>
        </is>
      </c>
    </row>
    <row r="3">
      <c r="A3" s="11" t="inlineStr">
        <is>
          <t>Classification</t>
        </is>
      </c>
      <c r="B3" s="11" t="inlineStr">
        <is>
          <t>FVTPL share</t>
        </is>
      </c>
      <c r="C3" s="15">
        <f>IFERROR(Input_IFRS9_Detail!C3/(Input_IFRS9_Detail!C3+Input_IFRS9_Detail!C4+Input_IFRS9_Detail!C5+Input_IFRS9_Detail!C6),"")</f>
        <v/>
      </c>
      <c r="D3" s="15">
        <f>IFERROR(Input_IFRS9_Detail!D3/(Input_IFRS9_Detail!D3+Input_IFRS9_Detail!D4+Input_IFRS9_Detail!D5+Input_IFRS9_Detail!D6),"")</f>
        <v/>
      </c>
      <c r="E3" s="15">
        <f>IFERROR(Input_IFRS9_Detail!E3/(Input_IFRS9_Detail!E3+Input_IFRS9_Detail!E4+Input_IFRS9_Detail!E5+Input_IFRS9_Detail!E6),"")</f>
        <v/>
      </c>
      <c r="F3" s="11" t="inlineStr">
        <is>
          <t>Porsi aset pada FVTPL</t>
        </is>
      </c>
      <c r="G3" s="11" t="inlineStr">
        <is>
          <t>Info</t>
        </is>
      </c>
      <c r="H3" s="11" t="inlineStr"/>
    </row>
    <row r="4">
      <c r="A4" s="11" t="inlineStr">
        <is>
          <t>Classification</t>
        </is>
      </c>
      <c r="B4" s="11" t="inlineStr">
        <is>
          <t>FVOCI share</t>
        </is>
      </c>
      <c r="C4" s="15">
        <f>IFERROR((Input_IFRS9_Detail!C4+Input_IFRS9_Detail!C5)/(Input_IFRS9_Detail!C3+Input_IFRS9_Detail!C4+Input_IFRS9_Detail!C5+Input_IFRS9_Detail!C6),"")</f>
        <v/>
      </c>
      <c r="D4" s="15">
        <f>IFERROR((Input_IFRS9_Detail!D4+Input_IFRS9_Detail!D5)/(Input_IFRS9_Detail!D3+Input_IFRS9_Detail!D4+Input_IFRS9_Detail!D5+Input_IFRS9_Detail!D6),"")</f>
        <v/>
      </c>
      <c r="E4" s="15">
        <f>IFERROR((Input_IFRS9_Detail!E4+Input_IFRS9_Detail!E5)/(Input_IFRS9_Detail!E3+Input_IFRS9_Detail!E4+Input_IFRS9_Detail!E5+Input_IFRS9_Detail!E6),"")</f>
        <v/>
      </c>
      <c r="F4" s="11" t="inlineStr">
        <is>
          <t>Porsi OCI volatility</t>
        </is>
      </c>
      <c r="G4" s="11" t="inlineStr">
        <is>
          <t>Info</t>
        </is>
      </c>
      <c r="H4" s="11" t="inlineStr"/>
    </row>
    <row r="5">
      <c r="A5" s="11" t="inlineStr">
        <is>
          <t>ECL</t>
        </is>
      </c>
      <c r="B5" s="11" t="inlineStr">
        <is>
          <t>Coverage</t>
        </is>
      </c>
      <c r="C5" s="15">
        <f>Input_IFRS9_Detail!C16</f>
        <v/>
      </c>
      <c r="D5" s="15">
        <f>Input_IFRS9_Detail!D16</f>
        <v/>
      </c>
      <c r="E5" s="15">
        <f>Input_IFRS9_Detail!E16</f>
        <v/>
      </c>
      <c r="F5" s="11">
        <f>IF(C5&gt;=Setup!B21,"Memadai","Tipis / perlu review")</f>
        <v/>
      </c>
      <c r="G5" s="11">
        <f>IF(C5&gt;=Setup!B21,"OK","Watch")</f>
        <v/>
      </c>
      <c r="H5" s="11" t="inlineStr">
        <is>
          <t>Allowance / ECL assets</t>
        </is>
      </c>
    </row>
    <row r="6">
      <c r="A6" s="11" t="inlineStr">
        <is>
          <t>ECL</t>
        </is>
      </c>
      <c r="B6" s="11" t="inlineStr">
        <is>
          <t>Stage 2+3 ratio</t>
        </is>
      </c>
      <c r="C6" s="15">
        <f>IFERROR((Input_IFRS9_Detail!C10+Input_IFRS9_Detail!C11)/Input_IFRS9_Detail!C8,"")</f>
        <v/>
      </c>
      <c r="D6" s="15">
        <f>IFERROR((Input_IFRS9_Detail!D10+Input_IFRS9_Detail!D11)/Input_IFRS9_Detail!D8,"")</f>
        <v/>
      </c>
      <c r="E6" s="15">
        <f>IFERROR((Input_IFRS9_Detail!E10+Input_IFRS9_Detail!E11)/Input_IFRS9_Detail!E8,"")</f>
        <v/>
      </c>
      <c r="F6" s="11">
        <f>IF(C6&lt;=Setup!B22,"Relatif baik","Migrasi risiko kredit naik")</f>
        <v/>
      </c>
      <c r="G6" s="11">
        <f>IF(C6&lt;=Setup!B22,"OK","Watch")</f>
        <v/>
      </c>
      <c r="H6" s="11" t="inlineStr">
        <is>
          <t>Stage 2+3 / base</t>
        </is>
      </c>
    </row>
    <row r="7">
      <c r="A7" s="11" t="inlineStr">
        <is>
          <t>Quality</t>
        </is>
      </c>
      <c r="B7" s="11" t="inlineStr">
        <is>
          <t>Credit-impaired / ECL base</t>
        </is>
      </c>
      <c r="C7" s="15">
        <f>IFERROR(Input_IFRS9_Detail!C18/Input_IFRS9_Detail!C8,"")</f>
        <v/>
      </c>
      <c r="D7" s="15">
        <f>IFERROR(Input_IFRS9_Detail!D18/Input_IFRS9_Detail!D8,"")</f>
        <v/>
      </c>
      <c r="E7" s="15">
        <f>IFERROR(Input_IFRS9_Detail!E18/Input_IFRS9_Detail!E8,"")</f>
        <v/>
      </c>
      <c r="F7" s="11" t="inlineStr">
        <is>
          <t>Credit-impaired intensity</t>
        </is>
      </c>
      <c r="G7" s="11" t="inlineStr">
        <is>
          <t>Info</t>
        </is>
      </c>
      <c r="H7" s="11" t="inlineStr"/>
    </row>
    <row r="8">
      <c r="A8" s="11" t="inlineStr">
        <is>
          <t>P/L</t>
        </is>
      </c>
      <c r="B8" s="11" t="inlineStr">
        <is>
          <t>Portfolio yield</t>
        </is>
      </c>
      <c r="C8" s="15">
        <f>Input_IFRS9_Detail!C25</f>
        <v/>
      </c>
      <c r="D8" s="15">
        <f>Input_IFRS9_Detail!D25</f>
        <v/>
      </c>
      <c r="E8" s="15">
        <f>Input_IFRS9_Detail!E25</f>
        <v/>
      </c>
      <c r="F8" s="11">
        <f>IF(C8&gt;=Setup!B26,"Memadai","Rendah")</f>
        <v/>
      </c>
      <c r="G8" s="11">
        <f>IF(C8&gt;=Setup!B26,"OK","Watch")</f>
        <v/>
      </c>
      <c r="H8" s="11" t="inlineStr">
        <is>
          <t>Investment income / avg assets</t>
        </is>
      </c>
    </row>
    <row r="9">
      <c r="A9" s="11" t="inlineStr">
        <is>
          <t>OCI</t>
        </is>
      </c>
      <c r="B9" s="11" t="inlineStr">
        <is>
          <t>FVOCI reserve closing</t>
        </is>
      </c>
      <c r="C9" s="22">
        <f>Input_IFRS9_Detail!C21</f>
        <v/>
      </c>
      <c r="D9" s="22">
        <f>Input_IFRS9_Detail!D21</f>
        <v/>
      </c>
      <c r="E9" s="22">
        <f>Input_IFRS9_Detail!E21</f>
        <v/>
      </c>
      <c r="F9" s="11" t="inlineStr">
        <is>
          <t>OCI reserve level</t>
        </is>
      </c>
      <c r="G9" s="11" t="inlineStr">
        <is>
          <t>Info</t>
        </is>
      </c>
      <c r="H9" s="11" t="inlineStr"/>
    </row>
    <row r="10">
      <c r="A10" s="11" t="inlineStr">
        <is>
          <t>Sensitivity</t>
        </is>
      </c>
      <c r="B10" s="11" t="inlineStr">
        <is>
          <t>Interest rate duration</t>
        </is>
      </c>
      <c r="C10" s="22">
        <f>Input_IFRS9_Detail!C26</f>
        <v/>
      </c>
      <c r="D10" s="22">
        <f>Input_IFRS9_Detail!D26</f>
        <v/>
      </c>
      <c r="E10" s="22">
        <f>Input_IFRS9_Detail!E26</f>
        <v/>
      </c>
      <c r="F10" s="11" t="inlineStr">
        <is>
          <t>Interest-rate sensitivity</t>
        </is>
      </c>
      <c r="G10" s="11" t="inlineStr">
        <is>
          <t>Info</t>
        </is>
      </c>
      <c r="H10" s="11" t="inlineStr"/>
    </row>
  </sheetData>
  <mergeCells count="1">
    <mergeCell ref="A1:H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0" customWidth="1" min="4" max="4"/>
    <col width="10" customWidth="1" min="5" max="5"/>
    <col width="24" customWidth="1" min="6" max="6"/>
  </cols>
  <sheetData>
    <row r="1" ht="24" customHeight="1">
      <c r="A1" s="10" t="inlineStr">
        <is>
          <t>SCORECARD &amp; EARLY WARNING</t>
        </is>
      </c>
    </row>
    <row r="2">
      <c r="A2" s="12" t="inlineStr">
        <is>
          <t>Metric</t>
        </is>
      </c>
      <c r="B2" s="12" t="inlineStr">
        <is>
          <t>CY</t>
        </is>
      </c>
      <c r="C2" s="12" t="inlineStr">
        <is>
          <t>Threshold</t>
        </is>
      </c>
      <c r="D2" s="12" t="inlineStr">
        <is>
          <t>Pass?</t>
        </is>
      </c>
      <c r="E2" s="12" t="inlineStr">
        <is>
          <t>Points</t>
        </is>
      </c>
      <c r="F2" s="12" t="inlineStr">
        <is>
          <t>Comment</t>
        </is>
      </c>
    </row>
    <row r="3">
      <c r="A3" s="23" t="inlineStr">
        <is>
          <t>ROE</t>
        </is>
      </c>
      <c r="B3" s="24">
        <f>Rasio!C4</f>
        <v/>
      </c>
      <c r="C3" s="23" t="inlineStr">
        <is>
          <t>&gt;=Setup!B16</t>
        </is>
      </c>
      <c r="D3" s="23">
        <f>IF(OR(B3="",ISBLANK(B3)),"No data",IF(B3&gt;=Setup!B16,"Yes","No"))</f>
        <v/>
      </c>
      <c r="E3" s="23">
        <f>IF(D3="Yes",12.5,0)</f>
        <v/>
      </c>
      <c r="F3" s="23">
        <f>IF(D3="No data","No data",IF(D3="Yes","Within threshold","Check metric"))</f>
        <v/>
      </c>
    </row>
    <row r="4">
      <c r="A4" s="23" t="inlineStr">
        <is>
          <t>Cash / liabilities</t>
        </is>
      </c>
      <c r="B4" s="24">
        <f>Rasio!C6</f>
        <v/>
      </c>
      <c r="C4" s="23" t="inlineStr">
        <is>
          <t>&gt;=Setup!B13</t>
        </is>
      </c>
      <c r="D4" s="23">
        <f>IF(OR(B4="",ISBLANK(B4)),"No data",IF(B4&gt;=Setup!B13,"Yes","No"))</f>
        <v/>
      </c>
      <c r="E4" s="23">
        <f>IF(D4="Yes",12.5,0)</f>
        <v/>
      </c>
      <c r="F4" s="23">
        <f>IF(D4="No data","No data",IF(D4="Yes","Within threshold","Check metric"))</f>
        <v/>
      </c>
    </row>
    <row r="5">
      <c r="A5" s="23" t="inlineStr">
        <is>
          <t>Liabilities / equity</t>
        </is>
      </c>
      <c r="B5" s="25">
        <f>Rasio!C5</f>
        <v/>
      </c>
      <c r="C5" s="23" t="inlineStr">
        <is>
          <t>&lt;=Setup!B14</t>
        </is>
      </c>
      <c r="D5" s="23">
        <f>IF(OR(B5="",ISBLANK(B5)),"No data",IF(B5&lt;=Setup!B14,"Yes","No"))</f>
        <v/>
      </c>
      <c r="E5" s="23">
        <f>IF(D5="Yes",12.5,0)</f>
        <v/>
      </c>
      <c r="F5" s="23">
        <f>IF(D5="No data","No data",IF(D5="Yes","Within threshold","Check metric"))</f>
        <v/>
      </c>
    </row>
    <row r="6">
      <c r="A6" s="23" t="inlineStr">
        <is>
          <t>Claim ratio</t>
        </is>
      </c>
      <c r="B6" s="24">
        <f>Rasio!C7</f>
        <v/>
      </c>
      <c r="C6" s="23" t="inlineStr">
        <is>
          <t>&lt;=Setup!B17</t>
        </is>
      </c>
      <c r="D6" s="23">
        <f>IF(OR(B6="",ISBLANK(B6)),"No data",IF(B6&lt;=Setup!B17,"Yes","No"))</f>
        <v/>
      </c>
      <c r="E6" s="23">
        <f>IF(D6="Yes",12.5,0)</f>
        <v/>
      </c>
      <c r="F6" s="23">
        <f>IF(D6="No data","No data",IF(D6="Yes","Within threshold","Check metric"))</f>
        <v/>
      </c>
    </row>
    <row r="7">
      <c r="A7" s="23" t="inlineStr">
        <is>
          <t>CSM / equity</t>
        </is>
      </c>
      <c r="B7" s="24">
        <f>Rasio!C8</f>
        <v/>
      </c>
      <c r="C7" s="23" t="inlineStr">
        <is>
          <t>&gt;=Setup!B25</t>
        </is>
      </c>
      <c r="D7" s="23">
        <f>IF(OR(B7="",ISBLANK(B7)),"No data",IF(B7&gt;=Setup!B25,"Yes","No"))</f>
        <v/>
      </c>
      <c r="E7" s="23">
        <f>IF(D7="Yes",12.5,0)</f>
        <v/>
      </c>
      <c r="F7" s="23">
        <f>IF(D7="No data","No data",IF(D7="Yes","Within threshold","Check metric"))</f>
        <v/>
      </c>
    </row>
    <row r="8">
      <c r="A8" s="23" t="inlineStr">
        <is>
          <t>ECL coverage</t>
        </is>
      </c>
      <c r="B8" s="24">
        <f>Rasio!C10</f>
        <v/>
      </c>
      <c r="C8" s="23" t="inlineStr">
        <is>
          <t>&gt;=Setup!B21</t>
        </is>
      </c>
      <c r="D8" s="23">
        <f>IF(OR(B8="",ISBLANK(B8)),"No data",IF(B8&gt;=Setup!B21,"Yes","No"))</f>
        <v/>
      </c>
      <c r="E8" s="23">
        <f>IF(D8="Yes",12.5,0)</f>
        <v/>
      </c>
      <c r="F8" s="23">
        <f>IF(D8="No data","No data",IF(D8="Yes","Within threshold","Check metric"))</f>
        <v/>
      </c>
    </row>
    <row r="9">
      <c r="A9" s="23" t="inlineStr">
        <is>
          <t>Stage 2+3 ratio</t>
        </is>
      </c>
      <c r="B9" s="24">
        <f>Rasio!C11</f>
        <v/>
      </c>
      <c r="C9" s="23" t="inlineStr">
        <is>
          <t>&lt;=Setup!B22</t>
        </is>
      </c>
      <c r="D9" s="23">
        <f>IF(OR(B9="",ISBLANK(B9)),"No data",IF(B9&lt;=Setup!B22,"Yes","No"))</f>
        <v/>
      </c>
      <c r="E9" s="23">
        <f>IF(D9="Yes",12.5,0)</f>
        <v/>
      </c>
      <c r="F9" s="23">
        <f>IF(D9="No data","No data",IF(D9="Yes","Within threshold","Check metric"))</f>
        <v/>
      </c>
    </row>
    <row r="10">
      <c r="A10" s="23" t="inlineStr">
        <is>
          <t>OCF / profit</t>
        </is>
      </c>
      <c r="B10" s="24">
        <f>Rasio!C12</f>
        <v/>
      </c>
      <c r="C10" s="23" t="inlineStr">
        <is>
          <t>&gt;=Setup!B23</t>
        </is>
      </c>
      <c r="D10" s="23">
        <f>IF(OR(B10="",ISBLANK(B10)),"No data",IF(B10&gt;=Setup!B23,"Yes","No"))</f>
        <v/>
      </c>
      <c r="E10" s="23">
        <f>IF(D10="Yes",12.5,0)</f>
        <v/>
      </c>
      <c r="F10" s="23">
        <f>IF(D10="No data","No data",IF(D10="Yes","Within threshold","Check metric"))</f>
        <v/>
      </c>
    </row>
    <row r="11">
      <c r="A11" s="23" t="n"/>
      <c r="B11" s="23" t="n"/>
      <c r="C11" s="23" t="n"/>
      <c r="D11" s="23" t="n"/>
      <c r="E11" s="23" t="n"/>
      <c r="F11" s="23" t="n"/>
    </row>
    <row r="12">
      <c r="A12" s="23" t="inlineStr">
        <is>
          <t>Total score</t>
        </is>
      </c>
      <c r="B12" s="26">
        <f>SUM(E3:E10)</f>
        <v/>
      </c>
      <c r="C12" s="23" t="n"/>
      <c r="D12" s="23" t="n"/>
      <c r="E12" s="23" t="n"/>
      <c r="F12" s="23" t="n"/>
    </row>
    <row r="13">
      <c r="A13" s="23" t="inlineStr">
        <is>
          <t>Rating</t>
        </is>
      </c>
      <c r="B13" s="23">
        <f>IF(B12&gt;=87.5,"Strong",IF(B12&gt;=62.5,"Adequate","Weak"))</f>
        <v/>
      </c>
      <c r="C13" s="23" t="n"/>
      <c r="D13" s="23" t="n"/>
      <c r="E13" s="23" t="n"/>
      <c r="F13" s="23" t="n"/>
    </row>
    <row r="14">
      <c r="A14" s="23" t="n"/>
      <c r="B14" s="23" t="n"/>
      <c r="C14" s="23" t="n"/>
      <c r="D14" s="23" t="n"/>
      <c r="E14" s="23" t="n"/>
      <c r="F14" s="23" t="n"/>
    </row>
    <row r="15">
      <c r="A15" s="23" t="inlineStr">
        <is>
          <t>Early warning</t>
        </is>
      </c>
      <c r="B15" s="23">
        <f>TEXTJOIN("; ",TRUE,IF(D3:D10="No",A3:A10,""))</f>
        <v/>
      </c>
      <c r="C15" s="23" t="n"/>
      <c r="D15" s="23" t="n"/>
      <c r="E15" s="23" t="n"/>
      <c r="F15" s="23" t="n"/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4" customHeight="1">
      <c r="A1" s="10" t="inlineStr">
        <is>
          <t>RINGKASAN OTOMATIS / EXECUTIVE SUMMARY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</row>
    <row r="3">
      <c r="A3" s="11" t="inlineStr">
        <is>
          <t>Perusahaan</t>
        </is>
      </c>
      <c r="B3" s="11">
        <f>Setup!B4</f>
        <v/>
      </c>
      <c r="C3" s="11" t="n"/>
      <c r="D3" s="11" t="n"/>
      <c r="E3" s="11" t="n"/>
      <c r="F3" s="11" t="n"/>
      <c r="G3" s="11" t="n"/>
      <c r="H3" s="11" t="n"/>
    </row>
    <row r="4">
      <c r="A4" s="11" t="inlineStr">
        <is>
          <t>Periode</t>
        </is>
      </c>
      <c r="B4" s="11">
        <f>Setup!B6</f>
        <v/>
      </c>
      <c r="C4" s="11" t="n"/>
      <c r="D4" s="11" t="n"/>
      <c r="E4" s="11" t="n"/>
      <c r="F4" s="11" t="n"/>
      <c r="G4" s="11" t="n"/>
      <c r="H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</row>
    <row r="6">
      <c r="A6" s="11" t="inlineStr">
        <is>
          <t>Executive summary</t>
        </is>
      </c>
      <c r="B6" s="11">
        <f> "Perusahaan " &amp; Setup!B4 &amp; " dianalisis sebagai perusahaan asuransi jiwa pada periode " &amp; Setup!B6 &amp; ". ROE " &amp; TEXT(Rasio!C4,"0.0%") &amp; ", liabilities/equity " &amp; TEXT(Rasio!C5,"0.00x") &amp; ", claim ratio " &amp; TEXT(Rasio!C7,"0.0%") &amp; ", dan CSM/equity " &amp; TEXT(Rasio!C8,"0.0%") &amp; ". " &amp; IF(Scorecard!B13="Strong","Profil keseluruhan kuat.",IF(Scorecard!B13="Adequate","Profil keseluruhan memadai dengan beberapa area review.","Profil keseluruhan lemah dan perlu perhatian intensif."))</f>
        <v/>
      </c>
      <c r="C6" s="11" t="n"/>
      <c r="D6" s="11" t="n"/>
      <c r="E6" s="11" t="n"/>
      <c r="F6" s="11" t="n"/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inlineStr">
        <is>
          <t>1. Neraca</t>
        </is>
      </c>
      <c r="B8" s="11">
        <f> "Total aset " &amp; TEXT(Input_SFP!C18,"#,##0") &amp; ", total liabilitas " &amp; TEXT(Input_SFP!C26,"#,##0") &amp; ", dana peserta " &amp; TEXT(Input_SFP!C27,"#,##0") &amp; ", dan ekuitas " &amp; TEXT(Input_SFP!C34,"#,##0") &amp; "."</f>
        <v/>
      </c>
      <c r="C8" s="11" t="n"/>
      <c r="D8" s="11" t="n"/>
      <c r="E8" s="11" t="n"/>
      <c r="F8" s="11" t="n"/>
      <c r="G8" s="11" t="n"/>
      <c r="H8" s="11" t="n"/>
    </row>
    <row r="9">
      <c r="A9" s="11" t="inlineStr">
        <is>
          <t>2. Hasil jasa</t>
        </is>
      </c>
      <c r="B9" s="11">
        <f> "Insurance service result " &amp; TEXT(Input_IFRS17_Detail!C9,"#,##0") &amp; " dan result setelah finance " &amp; TEXT(Input_IFRS17_Detail!C12,"#,##0") &amp; "."</f>
        <v/>
      </c>
      <c r="C9" s="11" t="n"/>
      <c r="D9" s="11" t="n"/>
      <c r="E9" s="11" t="n"/>
      <c r="F9" s="11" t="n"/>
      <c r="G9" s="11" t="n"/>
      <c r="H9" s="11" t="n"/>
    </row>
    <row r="10">
      <c r="A10" s="11" t="inlineStr">
        <is>
          <t>3. CSM</t>
        </is>
      </c>
      <c r="B10" s="11">
        <f> "Closing CSM " &amp; TEXT(Input_IFRS17_Detail!C26,"#,##0") &amp; " atau " &amp; TEXT(Input_IFRS17_Detail!C31,"0.0%") &amp; " dari ekuitas."</f>
        <v/>
      </c>
      <c r="C10" s="11" t="n"/>
      <c r="D10" s="11" t="n"/>
      <c r="E10" s="11" t="n"/>
      <c r="F10" s="11" t="n"/>
      <c r="G10" s="11" t="n"/>
      <c r="H10" s="11" t="n"/>
    </row>
    <row r="11">
      <c r="A11" s="11" t="inlineStr">
        <is>
          <t>4. Investasi</t>
        </is>
      </c>
      <c r="B11" s="11">
        <f> "Net investment result " &amp; TEXT(Input_PL_OCI!C7,"#,##0") &amp; ", portfolio yield " &amp; TEXT(Input_IFRS9_Detail!C25,"0.0%") &amp; "."</f>
        <v/>
      </c>
      <c r="C11" s="11" t="n"/>
      <c r="D11" s="11" t="n"/>
      <c r="E11" s="11" t="n"/>
      <c r="F11" s="11" t="n"/>
      <c r="G11" s="11" t="n"/>
      <c r="H11" s="11" t="n"/>
    </row>
    <row r="12">
      <c r="A12" s="11" t="inlineStr">
        <is>
          <t>5. Kas &amp; kualitas laba</t>
        </is>
      </c>
      <c r="B12" s="11">
        <f> "Operating cash flow " &amp; TEXT(Input_CF!C3,"#,##0") &amp; " dan OCF/profit " &amp; TEXT(Rasio!C12,"0.0%") &amp; "."</f>
        <v/>
      </c>
      <c r="C12" s="11" t="n"/>
      <c r="D12" s="11" t="n"/>
      <c r="E12" s="11" t="n"/>
      <c r="F12" s="11" t="n"/>
      <c r="G12" s="11" t="n"/>
      <c r="H12" s="11" t="n"/>
    </row>
    <row r="13">
      <c r="A13" s="11" t="inlineStr">
        <is>
          <t>6. Early warning</t>
        </is>
      </c>
      <c r="B13" s="11">
        <f>Scorecard!B15</f>
        <v/>
      </c>
      <c r="C13" s="11" t="n"/>
      <c r="D13" s="11" t="n"/>
      <c r="E13" s="11" t="n"/>
      <c r="F13" s="11" t="n"/>
      <c r="G13" s="11" t="n"/>
      <c r="H13" s="11" t="n"/>
    </row>
  </sheetData>
  <mergeCells count="1">
    <mergeCell ref="A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8" customWidth="1" min="4" max="4"/>
    <col width="16" customWidth="1" min="5" max="5"/>
    <col width="20" customWidth="1" min="6" max="6"/>
    <col width="18" customWidth="1" min="7" max="7"/>
    <col width="16" customWidth="1" min="8" max="8"/>
    <col width="20" customWidth="1" min="9" max="9"/>
    <col width="16" customWidth="1" min="10" max="10"/>
  </cols>
  <sheetData>
    <row r="1" ht="24" customHeight="1">
      <c r="A1" s="10" t="inlineStr">
        <is>
          <t>DASHBOARD RINGKAS – ASURANSI JIWA IFRS 9 / IFRS 17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</row>
    <row r="3">
      <c r="A3" s="27" t="inlineStr">
        <is>
          <t>Total Aset</t>
        </is>
      </c>
      <c r="B3" s="28">
        <f>Input_SFP!C18</f>
        <v/>
      </c>
      <c r="C3" s="11" t="n"/>
      <c r="D3" s="27" t="inlineStr">
        <is>
          <t>Total Liabilitas</t>
        </is>
      </c>
      <c r="E3" s="28">
        <f>Input_SFP!C26</f>
        <v/>
      </c>
      <c r="F3" s="11" t="n"/>
      <c r="G3" s="27" t="inlineStr">
        <is>
          <t>Total Ekuitas</t>
        </is>
      </c>
      <c r="H3" s="28">
        <f>Input_SFP!C34</f>
        <v/>
      </c>
      <c r="I3" s="11" t="n"/>
      <c r="J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>
      <c r="A5" s="27" t="inlineStr">
        <is>
          <t>Profit Tahun Berjalan</t>
        </is>
      </c>
      <c r="B5" s="28">
        <f>Input_PL_OCI!C16</f>
        <v/>
      </c>
      <c r="C5" s="11" t="n"/>
      <c r="D5" s="27" t="inlineStr">
        <is>
          <t>Comprehensive Income</t>
        </is>
      </c>
      <c r="E5" s="28">
        <f>Input_PL_OCI!C21</f>
        <v/>
      </c>
      <c r="F5" s="11" t="n"/>
      <c r="G5" s="27" t="inlineStr">
        <is>
          <t>Score</t>
        </is>
      </c>
      <c r="H5" s="29">
        <f>Scorecard!B12</f>
        <v/>
      </c>
      <c r="I5" s="11" t="n"/>
      <c r="J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>
      <c r="A8" s="30" t="inlineStr">
        <is>
          <t>Key ratios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</row>
    <row r="9">
      <c r="A9" s="31" t="inlineStr">
        <is>
          <t>ROE</t>
        </is>
      </c>
      <c r="B9" s="32">
        <f>Rasio!C4</f>
        <v/>
      </c>
      <c r="C9" s="31" t="inlineStr">
        <is>
          <t>Liab/Equity</t>
        </is>
      </c>
      <c r="D9" s="33">
        <f>Rasio!C5</f>
        <v/>
      </c>
      <c r="E9" s="31" t="inlineStr">
        <is>
          <t>Claim ratio</t>
        </is>
      </c>
      <c r="F9" s="32">
        <f>Rasio!C7</f>
        <v/>
      </c>
      <c r="G9" s="31" t="inlineStr">
        <is>
          <t>CSM/Equity</t>
        </is>
      </c>
      <c r="H9" s="32">
        <f>Rasio!C8</f>
        <v/>
      </c>
      <c r="I9" s="31" t="inlineStr">
        <is>
          <t>OCF/Profit</t>
        </is>
      </c>
      <c r="J9" s="32">
        <f>Rasio!C12</f>
        <v/>
      </c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30" t="inlineStr">
        <is>
          <t>Executive summary</t>
        </is>
      </c>
      <c r="B12" s="11" t="n"/>
      <c r="C12" s="11" t="n"/>
      <c r="D12" s="11" t="n"/>
      <c r="E12" s="11" t="n"/>
      <c r="F12" s="30" t="inlineStr">
        <is>
          <t>Early warning</t>
        </is>
      </c>
      <c r="G12" s="11" t="n"/>
      <c r="H12" s="11" t="n"/>
      <c r="I12" s="11" t="n"/>
      <c r="J12" s="11" t="n"/>
    </row>
    <row r="13" ht="60" customHeight="1">
      <c r="A13" s="34">
        <f>Auto_Analysis!B6</f>
        <v/>
      </c>
      <c r="B13" s="11" t="n"/>
      <c r="C13" s="11" t="n"/>
      <c r="D13" s="11" t="n"/>
      <c r="E13" s="11" t="n"/>
      <c r="F13" s="34">
        <f>Scorecard!B15</f>
        <v/>
      </c>
      <c r="G13" s="11" t="n"/>
      <c r="H13" s="11" t="n"/>
      <c r="I13" s="11" t="n"/>
      <c r="J13" s="11" t="n"/>
    </row>
  </sheetData>
  <mergeCells count="1">
    <mergeCell ref="A1:J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2" customWidth="1" min="3" max="3"/>
    <col width="20" customWidth="1" min="4" max="4"/>
    <col width="28" customWidth="1" min="5" max="5"/>
    <col width="22" customWidth="1" min="6" max="6"/>
  </cols>
  <sheetData>
    <row r="1" ht="24" customHeight="1">
      <c r="A1" s="10" t="inlineStr">
        <is>
          <t>VALIDASI INPUT, KONSISTENSI, DAN KONTROL</t>
        </is>
      </c>
    </row>
    <row r="2">
      <c r="A2" s="12" t="inlineStr">
        <is>
          <t>Kontrol</t>
        </is>
      </c>
      <c r="B2" s="12" t="inlineStr">
        <is>
          <t>Hasil</t>
        </is>
      </c>
      <c r="C2" s="12" t="inlineStr">
        <is>
          <t>Status</t>
        </is>
      </c>
      <c r="D2" s="12" t="inlineStr">
        <is>
          <t>Sheet</t>
        </is>
      </c>
      <c r="E2" s="12" t="inlineStr">
        <is>
          <t>Tindak lanjut</t>
        </is>
      </c>
      <c r="F2" s="12" t="inlineStr">
        <is>
          <t>Catatan</t>
        </is>
      </c>
    </row>
    <row r="3">
      <c r="A3" s="11" t="inlineStr">
        <is>
          <t>Total assets = liabilities + funds + equity</t>
        </is>
      </c>
      <c r="B3" s="11">
        <f>IF(Input_SFP!C18=0,"NO DATA",IF(ABS(Input_SFP!C18-Input_SFP!C35)&lt;1,"OK","CEK"))</f>
        <v/>
      </c>
      <c r="C3" s="11">
        <f>B3</f>
        <v/>
      </c>
      <c r="D3" s="11" t="inlineStr">
        <is>
          <t>Input_SFP</t>
        </is>
      </c>
      <c r="E3" s="11" t="inlineStr">
        <is>
          <t>Pastikan neraca balance</t>
        </is>
      </c>
      <c r="F3" s="11" t="inlineStr"/>
    </row>
    <row r="4">
      <c r="A4" s="11" t="inlineStr">
        <is>
          <t>Cash ending CF = cash SFP</t>
        </is>
      </c>
      <c r="B4" s="11">
        <f>IF(Input_SFP!C3=0,"NO DATA",IF(ABS(Input_CF!C9-Input_SFP!C3)&lt;1,"OK","CEK"))</f>
        <v/>
      </c>
      <c r="C4" s="11">
        <f>B4</f>
        <v/>
      </c>
      <c r="D4" s="11" t="inlineStr">
        <is>
          <t>Input_CF/Input_SFP</t>
        </is>
      </c>
      <c r="E4" s="11" t="inlineStr">
        <is>
          <t>Rekonsiliasi ending cash</t>
        </is>
      </c>
      <c r="F4" s="11" t="inlineStr"/>
    </row>
    <row r="5">
      <c r="A5" s="11" t="inlineStr">
        <is>
          <t>Profit + OCI = total comprehensive</t>
        </is>
      </c>
      <c r="B5" s="11">
        <f>IF(AND(Input_PL_OCI!C16=0,Input_PL_OCI!C20=0),"NO DATA",IF(ABS(Input_PL_OCI!C21-(Input_PL_OCI!C16+Input_PL_OCI!C20))&lt;1,"OK","CEK"))</f>
        <v/>
      </c>
      <c r="C5" s="11">
        <f>B5</f>
        <v/>
      </c>
      <c r="D5" s="11" t="inlineStr">
        <is>
          <t>Input_PL_OCI</t>
        </is>
      </c>
      <c r="E5" s="11" t="inlineStr">
        <is>
          <t>Periksa laba dan OCI</t>
        </is>
      </c>
      <c r="F5" s="11" t="inlineStr"/>
    </row>
    <row r="6">
      <c r="A6" s="11" t="inlineStr">
        <is>
          <t>CF net increase helper</t>
        </is>
      </c>
      <c r="B6" s="11">
        <f>IF(AND(Input_CF!C3=0,Input_CF!C4=0,Input_CF!C5=0,Input_CF!C6=0),"NO DATA",IF(ABS(Input_CF!C7-SUM(Input_CF!C3:C6))&lt;1,"OK","CEK"))</f>
        <v/>
      </c>
      <c r="C6" s="11">
        <f>B6</f>
        <v/>
      </c>
      <c r="D6" s="11" t="inlineStr">
        <is>
          <t>Input_CF</t>
        </is>
      </c>
      <c r="E6" s="11" t="inlineStr">
        <is>
          <t>Periksa rekonsiliasi kas</t>
        </is>
      </c>
      <c r="F6" s="11" t="inlineStr"/>
    </row>
    <row r="7">
      <c r="A7" s="11" t="inlineStr">
        <is>
          <t>IFRS 9 total ECL base</t>
        </is>
      </c>
      <c r="B7" s="11">
        <f>IF(Input_IFRS9_Detail!C8=0,"NO DATA",IF(ABS(Input_IFRS9_Detail!C8-SUM(Input_IFRS9_Detail!C9:C11))&lt;1,"OK","CEK"))</f>
        <v/>
      </c>
      <c r="C7" s="11">
        <f>B7</f>
        <v/>
      </c>
      <c r="D7" s="11" t="inlineStr">
        <is>
          <t>Input_IFRS9_Detail</t>
        </is>
      </c>
      <c r="E7" s="11" t="inlineStr">
        <is>
          <t>Periksa klasifikasi aset</t>
        </is>
      </c>
      <c r="F7" s="11" t="inlineStr"/>
    </row>
    <row r="8">
      <c r="A8" s="11" t="inlineStr">
        <is>
          <t>IFRS 9 total allowance</t>
        </is>
      </c>
      <c r="B8" s="11">
        <f>IF(Input_IFRS9_Detail!C15=0,"NO DATA",IF(ABS(Input_IFRS9_Detail!C15-SUM(Input_IFRS9_Detail!C12:C14))&lt;1,"OK","CEK"))</f>
        <v/>
      </c>
      <c r="C8" s="11">
        <f>B8</f>
        <v/>
      </c>
      <c r="D8" s="11" t="inlineStr">
        <is>
          <t>Input_IFRS9_Detail</t>
        </is>
      </c>
      <c r="E8" s="11" t="inlineStr">
        <is>
          <t>Periksa allowance</t>
        </is>
      </c>
      <c r="F8" s="11" t="inlineStr"/>
    </row>
    <row r="9">
      <c r="A9" s="11" t="inlineStr">
        <is>
          <t>IFRS17 life service result</t>
        </is>
      </c>
      <c r="B9" s="11">
        <f>IF(Input_IFRS17_Detail!C3=0,"NO DATA",IF(ABS(Input_IFRS17_Detail!C9-(Input_IFRS17_Detail!C3-Input_IFRS17_Detail!C4-Input_IFRS17_Detail!C5-Input_IFRS17_Detail!C6-Input_IFRS17_Detail!C7+Input_IFRS17_Detail!C8))&lt;1,"OK","CEK"))</f>
        <v/>
      </c>
      <c r="C9" s="11">
        <f>B9</f>
        <v/>
      </c>
      <c r="D9" s="11" t="inlineStr">
        <is>
          <t>Input_IFRS17_Detail</t>
        </is>
      </c>
      <c r="E9" s="11" t="inlineStr">
        <is>
          <t>Periksa hasil jasa asuransi</t>
        </is>
      </c>
      <c r="F9" s="11" t="inlineStr"/>
    </row>
    <row r="10">
      <c r="A10" s="11" t="inlineStr">
        <is>
          <t>Closing CSM helper</t>
        </is>
      </c>
      <c r="B10" s="11">
        <f>IF(Input_IFRS17_Detail!C26="","NO DATA",IF(ABS(Input_IFRS17_Detail!C26-(Input_IFRS17_Detail!C20+Input_IFRS17_Detail!C21+Input_IFRS17_Detail!C22+Input_IFRS17_Detail!C23-Input_IFRS17_Detail!C24+Input_IFRS17_Detail!C25))&lt;1,"OK","CEK"))</f>
        <v/>
      </c>
      <c r="C10" s="11">
        <f>B10</f>
        <v/>
      </c>
      <c r="D10" s="11" t="inlineStr">
        <is>
          <t>Input_IFRS17_Detail</t>
        </is>
      </c>
      <c r="E10" s="11" t="inlineStr">
        <is>
          <t>Periksa pergerakan CSM</t>
        </is>
      </c>
      <c r="F10" s="11" t="inlineStr"/>
    </row>
    <row r="11">
      <c r="A11" t="inlineStr">
        <is>
          <t>RAW CY data populated</t>
        </is>
      </c>
      <c r="B11">
        <f>IF((COUNT(Raw_SFP!C:C)+COUNT(Raw_PL_OCI!C:C)+COUNT(Raw_CF!C:C)+COUNT(Raw_IFRS17!C:C)+COUNT(Raw_IFRS9!C:C))=0,"NO DATA","OK")</f>
        <v/>
      </c>
      <c r="C11">
        <f>B11</f>
        <v/>
      </c>
      <c r="D11" t="inlineStr">
        <is>
          <t>All RAW sheets</t>
        </is>
      </c>
      <c r="E11" t="inlineStr">
        <is>
          <t>Pastikan minimal data CY terisi sebelum menarik kesimpulan.</t>
        </is>
      </c>
    </row>
  </sheetData>
  <mergeCells count="1">
    <mergeCell ref="A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  <col width="60" customWidth="1" min="8" max="8"/>
  </cols>
  <sheetData>
    <row r="1" ht="24" customHeight="1">
      <c r="A1" s="38" t="inlineStr">
        <is>
          <t>EQUITY RESEARCH STYLE – ASURANSI JIWA</t>
        </is>
      </c>
    </row>
    <row r="2">
      <c r="A2" s="39" t="inlineStr">
        <is>
          <t>Section</t>
        </is>
      </c>
      <c r="B2" s="40" t="inlineStr">
        <is>
          <t>Narasi / Output otomatis</t>
        </is>
      </c>
    </row>
    <row r="3" ht="40" customHeight="1">
      <c r="A3" s="11" t="inlineStr">
        <is>
          <t>Investment thesis</t>
        </is>
      </c>
      <c r="B3" s="36">
        <f> "Perusahaan " &amp; Setup!B4 &amp; " pada " &amp; Setup!B6 &amp; " membukukan ROE " &amp; TEXT(Rasio!C4,"0.0%") &amp; ", leverage " &amp; TEXT(Rasio!C5,"0.00x") &amp; ", claim ratio " &amp; TEXT(Rasio!C7,"0.0%") &amp; ", dan CSM/equity " &amp; TEXT(Rasio!C8,"0.0%") &amp; ". Secara keseluruhan profil dinilai " &amp; Scorecard!B13 &amp; " berdasarkan score " &amp; TEXT(Scorecard!B12,"0.0") &amp; "."</f>
        <v/>
      </c>
    </row>
    <row r="4" ht="40" customHeight="1">
      <c r="A4" s="11" t="inlineStr">
        <is>
          <t>Capital &amp; balance sheet</t>
        </is>
      </c>
      <c r="B4" s="36">
        <f> "Total aset " &amp; TEXT(Input_SFP!C18,"#,##0") &amp; ", total liabilitas " &amp; TEXT(Input_SFP!C26,"#,##0") &amp; ", dan ekuitas " &amp; TEXT(Input_SFP!C34,"#,##0") &amp; ". Leverage " &amp; TEXT(Rasio!C5,"0.00x") &amp; IF(Rasio!C5&lt;=Setup!B14,", masih dalam batas internal.",", berada di atas ambang yang perlu diwaspadai.")</f>
        <v/>
      </c>
    </row>
    <row r="5" ht="40" customHeight="1">
      <c r="A5" s="11" t="inlineStr">
        <is>
          <t>Insurance franchise</t>
        </is>
      </c>
      <c r="B5" s="36">
        <f> "Insurance service result sebesar " &amp; TEXT(Input_IFRS17_Detail!C9,"#,##0") &amp; " dan insurance result after finance sebesar " &amp; TEXT(Input_IFRS17_Detail!C12,"#,##0") &amp; ". Ini menunjukkan " &amp; IF(Input_IFRS17_Detail!C12&gt;=0,"franchise profit setelah finance masih positif.","hasil jasa/finance masih tertekan.")</f>
        <v/>
      </c>
    </row>
    <row r="6" ht="40" customHeight="1">
      <c r="A6" s="11" t="inlineStr">
        <is>
          <t>CSM &amp; future earnings</t>
        </is>
      </c>
      <c r="B6" s="36">
        <f> "Closing CSM sebesar " &amp; TEXT(Input_IFRS17_Detail!C26,"#,##0") &amp; " atau " &amp; TEXT(Rasio!C8,"0.0%") &amp; " dari ekuitas. " &amp; IF(Rasio!C8&gt;=Setup!B25,"Buffer laba masa depan terlihat memadai.","Buffer laba masa depan terlihat tipis dibanding ekuitas.")</f>
        <v/>
      </c>
    </row>
    <row r="7" ht="40" customHeight="1">
      <c r="A7" s="11" t="inlineStr">
        <is>
          <t>Investment quality</t>
        </is>
      </c>
      <c r="B7" s="36">
        <f> "Portfolio yield " &amp; TEXT(Input_IFRS9_Detail!C25,"0.0%") &amp; ", ECL coverage " &amp; TEXT(Rasio!C10,"0.000%") &amp; ", dan Stage 2+3 ratio " &amp; TEXT(Rasio!C11,"0.0%") &amp; ". " &amp; IF(AND(Rasio!C10&gt;=Setup!B21,Rasio!C11&lt;=Setup!B22),"Profil IFRS 9 relatif bersih.","Portofolio investasi perlu pengawasan kualitas kredit yang lebih dekat.")</f>
        <v/>
      </c>
    </row>
    <row r="8" ht="40" customHeight="1">
      <c r="A8" s="11" t="inlineStr">
        <is>
          <t>Cash conversion</t>
        </is>
      </c>
      <c r="B8" s="36">
        <f> "Operating cash flow sebesar " &amp; TEXT(Input_CF!C3,"#,##0") &amp; " dengan OCF/profit " &amp; TEXT(Rasio!C12,"0.0%") &amp; ". " &amp; IF(Rasio!C12&gt;=Setup!B23,"Laba relatif terkonversi menjadi kas.","Kualitas laba perlu dicermati karena konversi kas lemah.")</f>
        <v/>
      </c>
    </row>
    <row r="9" ht="40" customHeight="1">
      <c r="A9" s="11" t="inlineStr">
        <is>
          <t>Analytical stance</t>
        </is>
      </c>
      <c r="B9" s="36">
        <f>IF(AND(Scorecard!B13="Strong",Rasio!C12&gt;=1,Rasio!C8&gt;=Setup!B25),"Stance analitis: constructive. Mesin laba masa depan masih ditopang CSM dan kas memadai.",IF(Scorecard!B13="Adequate","Stance analitis: selective. Fundamental inti memadai namun ada area review yang perlu dipantau.","Stance analitis: cautious. Perlu perhatian pada kualitas laba, leverage, atau penyangga IFRS 17."))</f>
        <v/>
      </c>
    </row>
    <row r="10">
      <c r="A10" s="36" t="n"/>
      <c r="B10" s="36" t="n"/>
      <c r="C10" s="36" t="n"/>
      <c r="D10" s="36" t="n"/>
      <c r="E10" s="36" t="n"/>
      <c r="F10" s="36" t="n"/>
      <c r="G10" s="36" t="n"/>
      <c r="H10" s="36" t="n"/>
    </row>
    <row r="11">
      <c r="A11" s="36" t="n"/>
      <c r="B11" s="36" t="n"/>
      <c r="C11" s="36" t="n"/>
      <c r="D11" s="36" t="n"/>
      <c r="E11" s="36" t="n"/>
      <c r="F11" s="36" t="n"/>
      <c r="G11" s="36" t="n"/>
      <c r="H11" s="36" t="n"/>
    </row>
    <row r="12">
      <c r="A12" s="36" t="n"/>
      <c r="B12" s="36" t="n"/>
      <c r="C12" s="36" t="n"/>
      <c r="D12" s="36" t="n"/>
      <c r="E12" s="36" t="n"/>
      <c r="F12" s="36" t="n"/>
      <c r="G12" s="36" t="n"/>
      <c r="H12" s="36" t="n"/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</row>
    <row r="14">
      <c r="A14" s="36" t="n"/>
      <c r="B14" s="36" t="n"/>
      <c r="C14" s="36" t="n"/>
      <c r="D14" s="36" t="n"/>
      <c r="E14" s="36" t="n"/>
      <c r="F14" s="36" t="n"/>
      <c r="G14" s="36" t="n"/>
      <c r="H14" s="36" t="n"/>
    </row>
    <row r="15">
      <c r="A15" s="36" t="n"/>
      <c r="B15" s="36" t="n"/>
      <c r="C15" s="36" t="n"/>
      <c r="D15" s="36" t="n"/>
      <c r="E15" s="36" t="n"/>
      <c r="F15" s="36" t="n"/>
      <c r="G15" s="36" t="n"/>
      <c r="H15" s="36" t="n"/>
    </row>
    <row r="16">
      <c r="A16" s="36" t="n"/>
      <c r="B16" s="36" t="n"/>
      <c r="C16" s="36" t="n"/>
      <c r="D16" s="36" t="n"/>
      <c r="E16" s="36" t="n"/>
      <c r="F16" s="36" t="n"/>
      <c r="G16" s="36" t="n"/>
      <c r="H16" s="36" t="n"/>
    </row>
    <row r="17">
      <c r="A17" s="36" t="n"/>
      <c r="B17" s="36" t="n"/>
      <c r="C17" s="36" t="n"/>
      <c r="D17" s="36" t="n"/>
      <c r="E17" s="36" t="n"/>
      <c r="F17" s="36" t="n"/>
      <c r="G17" s="36" t="n"/>
      <c r="H17" s="36" t="n"/>
    </row>
    <row r="18">
      <c r="A18" s="36" t="n"/>
      <c r="B18" s="36" t="n"/>
      <c r="C18" s="36" t="n"/>
      <c r="D18" s="36" t="n"/>
      <c r="E18" s="36" t="n"/>
      <c r="F18" s="36" t="n"/>
      <c r="G18" s="36" t="n"/>
      <c r="H18" s="36" t="n"/>
    </row>
    <row r="19">
      <c r="A19" s="36" t="n"/>
      <c r="B19" s="36" t="n"/>
      <c r="C19" s="36" t="n"/>
      <c r="D19" s="36" t="n"/>
      <c r="E19" s="36" t="n"/>
      <c r="F19" s="36" t="n"/>
      <c r="G19" s="36" t="n"/>
      <c r="H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</row>
  </sheetData>
  <mergeCells count="9">
    <mergeCell ref="B8:H8"/>
    <mergeCell ref="B9:H9"/>
    <mergeCell ref="B4:H4"/>
    <mergeCell ref="B6:H6"/>
    <mergeCell ref="B2:H2"/>
    <mergeCell ref="B7:H7"/>
    <mergeCell ref="A1:H1"/>
    <mergeCell ref="B3:H3"/>
    <mergeCell ref="B5:H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  <col width="60" customWidth="1" min="8" max="8"/>
  </cols>
  <sheetData>
    <row r="1" ht="24" customHeight="1">
      <c r="A1" s="38" t="inlineStr">
        <is>
          <t>REGULATORY RED FLAGS – ASURANSI JIWA</t>
        </is>
      </c>
    </row>
    <row r="2">
      <c r="A2" s="3" t="inlineStr">
        <is>
          <t>Area</t>
        </is>
      </c>
      <c r="B2" s="3" t="inlineStr">
        <is>
          <t>Metric CY</t>
        </is>
      </c>
      <c r="C2" s="3" t="inlineStr">
        <is>
          <t>Threshold</t>
        </is>
      </c>
      <c r="D2" s="3" t="inlineStr">
        <is>
          <t>Severity</t>
        </is>
      </c>
      <c r="E2" s="3" t="inlineStr">
        <is>
          <t>Status</t>
        </is>
      </c>
      <c r="F2" s="3" t="inlineStr">
        <is>
          <t>Implikasi pengawas</t>
        </is>
      </c>
      <c r="G2" s="3" t="inlineStr">
        <is>
          <t>Narasi</t>
        </is>
      </c>
    </row>
    <row r="3" ht="34" customHeight="1">
      <c r="A3" s="23" t="inlineStr">
        <is>
          <t>Likuiditas</t>
        </is>
      </c>
      <c r="B3" s="24">
        <f>Rasio!C6</f>
        <v/>
      </c>
      <c r="C3" s="24">
        <f>Setup!B13</f>
        <v/>
      </c>
      <c r="D3" s="24">
        <f>IF(B3&gt;=C3,"Low",IF(B3&gt;=C3*0.75,"Medium","High"))</f>
        <v/>
      </c>
      <c r="E3" s="24">
        <f>IF(D3="Low","OK","Watch")</f>
        <v/>
      </c>
      <c r="F3" s="24">
        <f>IF(D3="High","Kapasitas memenuhi kewajiban jangka pendek perlu dicermati.","Pantau likuiditas operasional dan penempatan kas.")</f>
        <v/>
      </c>
      <c r="G3" s="24">
        <f>IF(D3="Low","Cash/liabilities masih memadai.","Likuiditas relatif tipis versus kewajiban.")</f>
        <v/>
      </c>
    </row>
    <row r="4" ht="34" customHeight="1">
      <c r="A4" s="23" t="inlineStr">
        <is>
          <t>Leverage</t>
        </is>
      </c>
      <c r="B4" s="24">
        <f>Rasio!C5</f>
        <v/>
      </c>
      <c r="C4" s="24">
        <f>Setup!B14</f>
        <v/>
      </c>
      <c r="D4" s="24">
        <f>IF(B4&lt;=C4,"Low",IF(B4&lt;=C4*1.2,"Medium","High"))</f>
        <v/>
      </c>
      <c r="E4" s="24">
        <f>IF(D4="Low","OK","Watch")</f>
        <v/>
      </c>
      <c r="F4" s="24">
        <f>IF(D4="High","Leverage tinggi dapat menekan fleksibilitas permodalan.","Pastikan struktur modal dan buffer solvabilitas memadai.")</f>
        <v/>
      </c>
      <c r="G4" s="24">
        <f>IF(D4="Low","Leverage masih dalam parameter.","Rasio liabilitas terhadap ekuitas perlu perhatian.")</f>
        <v/>
      </c>
    </row>
    <row r="5" ht="34" customHeight="1">
      <c r="A5" s="23" t="inlineStr">
        <is>
          <t>Claim burden</t>
        </is>
      </c>
      <c r="B5" s="24">
        <f>Rasio!C7</f>
        <v/>
      </c>
      <c r="C5" s="24">
        <f>Setup!B17</f>
        <v/>
      </c>
      <c r="D5" s="24">
        <f>IF(B5&lt;=C5,"Low",IF(B5&lt;=C5*1.15,"Medium","High"))</f>
        <v/>
      </c>
      <c r="E5" s="24">
        <f>IF(D5="Low","OK","Watch")</f>
        <v/>
      </c>
      <c r="F5" s="24">
        <f>IF(D5="High","Tingginya claim ratio dapat menggerus future service margin.","Pantau profitabilitas produk dan repricing.")</f>
        <v/>
      </c>
      <c r="G5" s="24">
        <f>IF(D5="Low","Claim ratio masih terkendali.","Claim ratio relatif tinggi dan dapat menekan profitabilitas.")</f>
        <v/>
      </c>
    </row>
    <row r="6" ht="34" customHeight="1">
      <c r="A6" s="23" t="inlineStr">
        <is>
          <t>CSM buffer</t>
        </is>
      </c>
      <c r="B6" s="24">
        <f>Rasio!C8</f>
        <v/>
      </c>
      <c r="C6" s="24">
        <f>Setup!B25</f>
        <v/>
      </c>
      <c r="D6" s="24">
        <f>IF(B6&gt;=C6,"Low",IF(B6&gt;=C6*0.75,"Medium","High"))</f>
        <v/>
      </c>
      <c r="E6" s="24">
        <f>IF(D6="Low","OK","Watch")</f>
        <v/>
      </c>
      <c r="F6" s="24">
        <f>IF(D6="High","Buffer laba masa depan tipis; sensitivitas terhadap asumsi lebih tinggi.","Perlu review granularitas portofolio dan onerous contracts.")</f>
        <v/>
      </c>
      <c r="G6" s="24">
        <f>IF(D6="Low","CSM masih menjadi penyangga laba masa depan.","CSM/equity tipis sehingga kualitas laba masa depan perlu diawasi.")</f>
        <v/>
      </c>
    </row>
    <row r="7" ht="34" customHeight="1">
      <c r="A7" s="23" t="inlineStr">
        <is>
          <t>Reinsurance cession</t>
        </is>
      </c>
      <c r="B7" s="24">
        <f>Rasio!C9</f>
        <v/>
      </c>
      <c r="C7" s="24">
        <f>Setup!B27</f>
        <v/>
      </c>
      <c r="D7" s="24">
        <f>IF(B7&lt;=C7,"Low",IF(B7&lt;=C7*1.2,"Medium","High"))</f>
        <v/>
      </c>
      <c r="E7" s="24">
        <f>IF(D7="Low","OK","Watch")</f>
        <v/>
      </c>
      <c r="F7" s="24">
        <f>IF(D7="High","Ketergantungan reasuransi dapat memperbesar risiko counterparty dan earnings volatility.","Pantau kualitas reinsurer dan terms treaty.")</f>
        <v/>
      </c>
      <c r="G7" s="24">
        <f>IF(D7="Low","Ketergantungan reasuransi masih moderat.","Cession ratio relatif tinggi dan perlu ditelaah.")</f>
        <v/>
      </c>
    </row>
    <row r="8" ht="34" customHeight="1">
      <c r="A8" s="23" t="inlineStr">
        <is>
          <t>IFRS 9 credit</t>
        </is>
      </c>
      <c r="B8" s="24">
        <f>Rasio!C11</f>
        <v/>
      </c>
      <c r="C8" s="24">
        <f>Setup!B22</f>
        <v/>
      </c>
      <c r="D8" s="24">
        <f>IF(B8&lt;=C8,"Low",IF(B8&lt;=C8*1.5,"Medium","High"))</f>
        <v/>
      </c>
      <c r="E8" s="24">
        <f>IF(D8="Low","OK","Watch")</f>
        <v/>
      </c>
      <c r="F8" s="24">
        <f>IF(D8="High","Migrasi Stage 2/3 menunjukkan risiko kredit portofolio meningkat.","Perlu review konsentrasi aset dan ECL assumptions.")</f>
        <v/>
      </c>
      <c r="G8" s="24">
        <f>IF(D8="Low","Stage 2+3 ratio rendah.","Portofolio kredit menunjukkan migrasi risiko yang perlu pengawasan.")</f>
        <v/>
      </c>
    </row>
    <row r="9" ht="34" customHeight="1">
      <c r="A9" s="23" t="inlineStr">
        <is>
          <t>Cash conversion</t>
        </is>
      </c>
      <c r="B9" s="24">
        <f>Rasio!C12</f>
        <v/>
      </c>
      <c r="C9" s="24">
        <f>Setup!B23</f>
        <v/>
      </c>
      <c r="D9" s="24">
        <f>IF(B9&gt;=C9,"Low",IF(B9&gt;=C9*0.7,"Medium","High"))</f>
        <v/>
      </c>
      <c r="E9" s="24">
        <f>IF(D9="Low","OK","Watch")</f>
        <v/>
      </c>
      <c r="F9" s="24">
        <f>IF(D9="High","Laba yang tidak didukung kas dapat menurunkan kualitas earnings.","Perlu rekonsiliasi sumber laba dan working capital/claims timing.")</f>
        <v/>
      </c>
      <c r="G9" s="24">
        <f>IF(D9="Low","Konversi laba ke kas cukup baik.","OCF/profit lemah dan kualitas laba perlu ditelaah.")</f>
        <v/>
      </c>
    </row>
    <row r="10">
      <c r="A10" s="36" t="n"/>
      <c r="B10" s="36" t="n"/>
      <c r="C10" s="36" t="n"/>
      <c r="D10" s="36" t="n"/>
      <c r="E10" s="36" t="n"/>
      <c r="F10" s="36" t="n"/>
      <c r="G10" s="36" t="n"/>
    </row>
    <row r="11">
      <c r="A11" s="36" t="n"/>
      <c r="B11" s="36" t="n"/>
      <c r="C11" s="36" t="n"/>
      <c r="D11" s="36" t="n"/>
      <c r="E11" s="36" t="n"/>
      <c r="F11" s="36" t="n"/>
      <c r="G11" s="36" t="n"/>
    </row>
    <row r="12">
      <c r="A12" s="36" t="n"/>
      <c r="B12" s="36" t="n"/>
      <c r="C12" s="36" t="n"/>
      <c r="D12" s="36" t="n"/>
      <c r="E12" s="36" t="n"/>
      <c r="F12" s="36" t="n"/>
      <c r="G12" s="36" t="n"/>
    </row>
    <row r="13">
      <c r="A13" s="36" t="n"/>
      <c r="B13" s="36" t="n"/>
      <c r="C13" s="36" t="n"/>
      <c r="D13" s="36" t="n"/>
      <c r="E13" s="36" t="n"/>
      <c r="F13" s="36" t="n"/>
      <c r="G13" s="36" t="n"/>
    </row>
    <row r="14">
      <c r="A14" s="36" t="n"/>
      <c r="B14" s="36" t="n"/>
      <c r="C14" s="36" t="n"/>
      <c r="D14" s="36" t="n"/>
      <c r="E14" s="36" t="n"/>
      <c r="F14" s="36" t="n"/>
      <c r="G14" s="36" t="n"/>
    </row>
    <row r="15">
      <c r="A15" s="36" t="n"/>
      <c r="B15" s="36" t="n"/>
      <c r="C15" s="36" t="n"/>
      <c r="D15" s="36" t="n"/>
      <c r="E15" s="36" t="n"/>
      <c r="F15" s="36" t="n"/>
      <c r="G15" s="36" t="n"/>
    </row>
    <row r="16">
      <c r="A16" s="36" t="n"/>
      <c r="B16" s="36" t="n"/>
      <c r="C16" s="36" t="n"/>
      <c r="D16" s="36" t="n"/>
      <c r="E16" s="36" t="n"/>
      <c r="F16" s="36" t="n"/>
      <c r="G16" s="36" t="n"/>
    </row>
    <row r="17">
      <c r="A17" s="36" t="n"/>
      <c r="B17" s="36" t="n"/>
      <c r="C17" s="36" t="n"/>
      <c r="D17" s="36" t="n"/>
      <c r="E17" s="36" t="n"/>
      <c r="F17" s="36" t="n"/>
      <c r="G17" s="36" t="n"/>
    </row>
    <row r="18">
      <c r="A18" s="36" t="n"/>
      <c r="B18" s="36" t="n"/>
      <c r="C18" s="36" t="n"/>
      <c r="D18" s="36" t="n"/>
      <c r="E18" s="36" t="n"/>
      <c r="F18" s="36" t="n"/>
      <c r="G18" s="36" t="n"/>
    </row>
    <row r="19">
      <c r="A19" s="36" t="n"/>
      <c r="B19" s="36" t="n"/>
      <c r="C19" s="36" t="n"/>
      <c r="D19" s="36" t="n"/>
      <c r="E19" s="36" t="n"/>
      <c r="F19" s="36" t="n"/>
      <c r="G19" s="36" t="n"/>
    </row>
    <row r="20">
      <c r="A20" s="36" t="n"/>
      <c r="B20" s="36" t="n"/>
      <c r="C20" s="36" t="n"/>
      <c r="D20" s="36" t="n"/>
      <c r="E20" s="36" t="n"/>
      <c r="F20" s="36" t="n"/>
      <c r="G20" s="36" t="n"/>
    </row>
    <row r="21">
      <c r="A21" s="36" t="n"/>
      <c r="B21" s="36" t="n"/>
      <c r="C21" s="36" t="n"/>
      <c r="D21" s="36" t="n"/>
      <c r="E21" s="36" t="n"/>
      <c r="F21" s="36" t="n"/>
      <c r="G21" s="36" t="n"/>
    </row>
    <row r="22">
      <c r="A22" s="36" t="n"/>
      <c r="B22" s="36" t="n"/>
      <c r="C22" s="36" t="n"/>
      <c r="D22" s="36" t="n"/>
      <c r="E22" s="36" t="n"/>
      <c r="F22" s="36" t="n"/>
      <c r="G22" s="36" t="n"/>
    </row>
    <row r="23">
      <c r="A23" s="36" t="n"/>
      <c r="B23" s="36" t="n"/>
      <c r="C23" s="36" t="n"/>
      <c r="D23" s="36" t="n"/>
      <c r="E23" s="36" t="n"/>
      <c r="F23" s="36" t="n"/>
      <c r="G23" s="36" t="n"/>
    </row>
    <row r="24">
      <c r="A24" s="36" t="n"/>
      <c r="B24" s="36" t="n"/>
      <c r="C24" s="36" t="n"/>
      <c r="D24" s="36" t="n"/>
      <c r="E24" s="36" t="n"/>
      <c r="F24" s="36" t="n"/>
      <c r="G24" s="36" t="n"/>
    </row>
    <row r="25">
      <c r="A25" s="36" t="n"/>
      <c r="B25" s="36" t="n"/>
      <c r="C25" s="36" t="n"/>
      <c r="D25" s="36" t="n"/>
      <c r="E25" s="36" t="n"/>
      <c r="F25" s="36" t="n"/>
      <c r="G25" s="36" t="n"/>
    </row>
    <row r="26">
      <c r="A26" s="36" t="n"/>
      <c r="B26" s="36" t="n"/>
      <c r="C26" s="36" t="n"/>
      <c r="D26" s="36" t="n"/>
      <c r="E26" s="36" t="n"/>
      <c r="F26" s="36" t="n"/>
      <c r="G26" s="36" t="n"/>
    </row>
    <row r="27">
      <c r="A27" s="36" t="n"/>
      <c r="B27" s="36" t="n"/>
      <c r="C27" s="36" t="n"/>
      <c r="D27" s="36" t="n"/>
      <c r="E27" s="36" t="n"/>
      <c r="F27" s="36" t="n"/>
      <c r="G27" s="36" t="n"/>
    </row>
    <row r="28">
      <c r="A28" s="36" t="n"/>
      <c r="B28" s="36" t="n"/>
      <c r="C28" s="36" t="n"/>
      <c r="D28" s="36" t="n"/>
      <c r="E28" s="36" t="n"/>
      <c r="F28" s="36" t="n"/>
      <c r="G28" s="36" t="n"/>
    </row>
    <row r="29">
      <c r="A29" s="36" t="n"/>
      <c r="B29" s="36" t="n"/>
      <c r="C29" s="36" t="n"/>
      <c r="D29" s="36" t="n"/>
      <c r="E29" s="36" t="n"/>
      <c r="F29" s="36" t="n"/>
      <c r="G29" s="36" t="n"/>
    </row>
    <row r="30">
      <c r="A30" s="36" t="n"/>
      <c r="B30" s="36" t="n"/>
      <c r="C30" s="36" t="n"/>
      <c r="D30" s="36" t="n"/>
      <c r="E30" s="36" t="n"/>
      <c r="F30" s="36" t="n"/>
      <c r="G30" s="36" t="n"/>
    </row>
    <row r="31">
      <c r="A31" s="36" t="n"/>
      <c r="B31" s="36" t="n"/>
      <c r="C31" s="36" t="n"/>
      <c r="D31" s="36" t="n"/>
      <c r="E31" s="36" t="n"/>
      <c r="F31" s="36" t="n"/>
      <c r="G31" s="36" t="n"/>
    </row>
    <row r="32">
      <c r="A32" s="36" t="n"/>
      <c r="B32" s="36" t="n"/>
      <c r="C32" s="36" t="n"/>
      <c r="D32" s="36" t="n"/>
      <c r="E32" s="36" t="n"/>
      <c r="F32" s="36" t="n"/>
      <c r="G32" s="36" t="n"/>
    </row>
    <row r="33">
      <c r="A33" s="36" t="n"/>
      <c r="B33" s="36" t="n"/>
      <c r="C33" s="36" t="n"/>
      <c r="D33" s="36" t="n"/>
      <c r="E33" s="36" t="n"/>
      <c r="F33" s="36" t="n"/>
      <c r="G33" s="36" t="n"/>
    </row>
    <row r="34">
      <c r="A34" s="36" t="n"/>
      <c r="B34" s="36" t="n"/>
      <c r="C34" s="36" t="n"/>
      <c r="D34" s="36" t="n"/>
      <c r="E34" s="36" t="n"/>
      <c r="F34" s="36" t="n"/>
      <c r="G34" s="36" t="n"/>
    </row>
    <row r="35">
      <c r="A35" s="36" t="n"/>
      <c r="B35" s="36" t="n"/>
      <c r="C35" s="36" t="n"/>
      <c r="D35" s="36" t="n"/>
      <c r="E35" s="36" t="n"/>
      <c r="F35" s="36" t="n"/>
      <c r="G35" s="36" t="n"/>
    </row>
    <row r="36">
      <c r="A36" s="36" t="n"/>
      <c r="B36" s="36" t="n"/>
      <c r="C36" s="36" t="n"/>
      <c r="D36" s="36" t="n"/>
      <c r="E36" s="36" t="n"/>
      <c r="F36" s="36" t="n"/>
      <c r="G36" s="36" t="n"/>
    </row>
    <row r="37">
      <c r="A37" s="36" t="n"/>
      <c r="B37" s="36" t="n"/>
      <c r="C37" s="36" t="n"/>
      <c r="D37" s="36" t="n"/>
      <c r="E37" s="36" t="n"/>
      <c r="F37" s="36" t="n"/>
      <c r="G37" s="36" t="n"/>
    </row>
    <row r="38">
      <c r="A38" s="36" t="n"/>
      <c r="B38" s="36" t="n"/>
      <c r="C38" s="36" t="n"/>
      <c r="D38" s="36" t="n"/>
      <c r="E38" s="36" t="n"/>
      <c r="F38" s="36" t="n"/>
      <c r="G38" s="36" t="n"/>
    </row>
    <row r="39">
      <c r="A39" s="36" t="n"/>
      <c r="B39" s="36" t="n"/>
      <c r="C39" s="36" t="n"/>
      <c r="D39" s="36" t="n"/>
      <c r="E39" s="36" t="n"/>
      <c r="F39" s="36" t="n"/>
      <c r="G39" s="36" t="n"/>
    </row>
  </sheetData>
  <mergeCells count="1">
    <mergeCell ref="A1:G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  <col width="60" customWidth="1" min="8" max="8"/>
  </cols>
  <sheetData>
    <row r="1" ht="24" customHeight="1">
      <c r="A1" s="38" t="inlineStr">
        <is>
          <t>UNDERWRITING QUALITY – ASURANSI JIWA</t>
        </is>
      </c>
    </row>
    <row r="2">
      <c r="A2" s="3" t="inlineStr">
        <is>
          <t>Fokus</t>
        </is>
      </c>
      <c r="B2" s="3" t="inlineStr">
        <is>
          <t>CY</t>
        </is>
      </c>
      <c r="C2" s="3" t="inlineStr">
        <is>
          <t>PY</t>
        </is>
      </c>
      <c r="D2" s="3" t="inlineStr">
        <is>
          <t>Benchmark</t>
        </is>
      </c>
      <c r="E2" s="3" t="inlineStr">
        <is>
          <t>Assessment</t>
        </is>
      </c>
      <c r="F2" s="3" t="inlineStr">
        <is>
          <t>Narasi</t>
        </is>
      </c>
    </row>
    <row r="3" ht="34" customHeight="1">
      <c r="A3" s="11" t="inlineStr">
        <is>
          <t>Service margin</t>
        </is>
      </c>
      <c r="B3" s="11">
        <f>IFERROR(Input_IFRS17_Detail!C9/Input_IFRS17_Detail!C3,"")</f>
        <v/>
      </c>
      <c r="C3" s="11">
        <f>IFERROR(Input_IFRS17_Detail!D9/Input_IFRS17_Detail!D3,"")</f>
        <v/>
      </c>
      <c r="D3" s="11" t="inlineStr">
        <is>
          <t>&gt;=0</t>
        </is>
      </c>
      <c r="E3" s="11">
        <f>IF(B3&gt;=0,"Positif","Negatif")</f>
        <v/>
      </c>
      <c r="F3" s="11">
        <f>IF(B3&gt;=0,"Hasil jasa inti masih positif terhadap revenue.","Service margin negatif; profit inti tertekan.")</f>
        <v/>
      </c>
    </row>
    <row r="4" ht="34" customHeight="1">
      <c r="A4" s="11" t="inlineStr">
        <is>
          <t>Claim ratio</t>
        </is>
      </c>
      <c r="B4" s="11">
        <f>Rasio!C7</f>
        <v/>
      </c>
      <c r="C4" s="11">
        <f>Rasio!D7</f>
        <v/>
      </c>
      <c r="D4" s="11">
        <f>Setup!B17</f>
        <v/>
      </c>
      <c r="E4" s="11">
        <f>IF(B4&lt;=D4,"Baik","Tinggi")</f>
        <v/>
      </c>
      <c r="F4" s="11">
        <f>IF(B4&lt;=D4,"Beban klaim relatif terkendali.","Beban klaim relatif tinggi terhadap insurance revenue.")</f>
        <v/>
      </c>
    </row>
    <row r="5" ht="34" customHeight="1">
      <c r="A5" s="11" t="inlineStr">
        <is>
          <t>CSM / equity</t>
        </is>
      </c>
      <c r="B5" s="11">
        <f>Rasio!C8</f>
        <v/>
      </c>
      <c r="C5" s="11">
        <f>Rasio!D8</f>
        <v/>
      </c>
      <c r="D5" s="11">
        <f>Setup!B25</f>
        <v/>
      </c>
      <c r="E5" s="11">
        <f>IF(B5&gt;=D5,"Kuat","Tipis")</f>
        <v/>
      </c>
      <c r="F5" s="11">
        <f>IF(B5&gt;=D5,"Penyangga laba masa depan relatif kuat.","Buffer CSM relatif tipis sehingga sensitivitas asumsi naik.")</f>
        <v/>
      </c>
    </row>
    <row r="6" ht="34" customHeight="1">
      <c r="A6" s="11" t="inlineStr">
        <is>
          <t>RA / LIC</t>
        </is>
      </c>
      <c r="B6" s="11">
        <f>IFERROR(Input_IFRS17_Detail!C19/Input_IFRS17_Detail!C17,"")</f>
        <v/>
      </c>
      <c r="C6" s="11">
        <f>IFERROR(Input_IFRS17_Detail!D19/Input_IFRS17_Detail!D17,"")</f>
        <v/>
      </c>
      <c r="D6" s="11" t="inlineStr">
        <is>
          <t>n/a</t>
        </is>
      </c>
      <c r="E6" s="11" t="inlineStr">
        <is>
          <t>Informasional</t>
        </is>
      </c>
      <c r="F6" s="11">
        <f> "Risk adjustment sebesar " &amp; TEXT(B6,"0.0%") &amp; " dari LIC."</f>
        <v/>
      </c>
    </row>
    <row r="7" ht="34" customHeight="1">
      <c r="A7" s="11" t="inlineStr">
        <is>
          <t>Cession ratio</t>
        </is>
      </c>
      <c r="B7" s="11">
        <f>Rasio!C9</f>
        <v/>
      </c>
      <c r="C7" s="11">
        <f>Rasio!D9</f>
        <v/>
      </c>
      <c r="D7" s="11">
        <f>Setup!B27</f>
        <v/>
      </c>
      <c r="E7" s="11">
        <f>IF(B7&lt;=D7,"Moderat","Tinggi")</f>
        <v/>
      </c>
      <c r="F7" s="11">
        <f>IF(B7&lt;=D7,"Penggunaan reasuransi masih moderat.","Ketergantungan reasuransi perlu ditinjau lebih lanjut.")</f>
        <v/>
      </c>
    </row>
    <row r="8" ht="34" customHeight="1">
      <c r="A8" s="11" t="inlineStr">
        <is>
          <t>Finance drag</t>
        </is>
      </c>
      <c r="B8" s="11">
        <f>IFERROR((Input_IFRS17_Detail!C12-Input_IFRS17_Detail!C9)/Input_IFRS17_Detail!C3,"")</f>
        <v/>
      </c>
      <c r="C8" s="11">
        <f>IFERROR((Input_IFRS17_Detail!D12-Input_IFRS17_Detail!D9)/Input_IFRS17_Detail!D3,"")</f>
        <v/>
      </c>
      <c r="D8" s="11" t="inlineStr">
        <is>
          <t>&gt;=-5%</t>
        </is>
      </c>
      <c r="E8" s="11">
        <f>IF(B8&gt;=-0.05,"Terkendali","Tertekan")</f>
        <v/>
      </c>
      <c r="F8" s="11">
        <f>IF(B8&gt;=-0.05,"Dampak finance terhadap hasil jasa masih terkendali.","Dampak finance menekan profit IFRS 17 secara material.")</f>
        <v/>
      </c>
    </row>
    <row r="9">
      <c r="A9" s="36" t="n"/>
      <c r="B9" s="36" t="n"/>
      <c r="C9" s="36" t="n"/>
      <c r="D9" s="36" t="n"/>
      <c r="E9" s="36" t="n"/>
      <c r="F9" s="36" t="n"/>
    </row>
    <row r="10">
      <c r="A10" s="36" t="n"/>
      <c r="B10" s="36" t="n"/>
      <c r="C10" s="36" t="n"/>
      <c r="D10" s="36" t="n"/>
      <c r="E10" s="36" t="n"/>
      <c r="F10" s="36" t="n"/>
    </row>
    <row r="11">
      <c r="A11" s="36" t="n"/>
      <c r="B11" s="36" t="n"/>
      <c r="C11" s="36" t="n"/>
      <c r="D11" s="36" t="n"/>
      <c r="E11" s="36" t="n"/>
      <c r="F11" s="36" t="n"/>
    </row>
    <row r="12">
      <c r="A12" s="36" t="n"/>
      <c r="B12" s="36" t="n"/>
      <c r="C12" s="36" t="n"/>
      <c r="D12" s="36" t="n"/>
      <c r="E12" s="36" t="n"/>
      <c r="F12" s="36" t="n"/>
    </row>
    <row r="13">
      <c r="A13" s="36" t="n"/>
      <c r="B13" s="36" t="n"/>
      <c r="C13" s="36" t="n"/>
      <c r="D13" s="36" t="n"/>
      <c r="E13" s="36" t="n"/>
      <c r="F13" s="36" t="n"/>
    </row>
    <row r="14">
      <c r="A14" s="36" t="n"/>
      <c r="B14" s="36" t="n"/>
      <c r="C14" s="36" t="n"/>
      <c r="D14" s="36" t="n"/>
      <c r="E14" s="36" t="n"/>
      <c r="F14" s="36" t="n"/>
    </row>
    <row r="15">
      <c r="A15" s="36" t="n"/>
      <c r="B15" s="36" t="n"/>
      <c r="C15" s="36" t="n"/>
      <c r="D15" s="36" t="n"/>
      <c r="E15" s="36" t="n"/>
      <c r="F15" s="36" t="n"/>
    </row>
    <row r="16">
      <c r="A16" s="36" t="n"/>
      <c r="B16" s="36" t="n"/>
      <c r="C16" s="36" t="n"/>
      <c r="D16" s="36" t="n"/>
      <c r="E16" s="36" t="n"/>
      <c r="F16" s="36" t="n"/>
    </row>
    <row r="17">
      <c r="A17" s="36" t="n"/>
      <c r="B17" s="36" t="n"/>
      <c r="C17" s="36" t="n"/>
      <c r="D17" s="36" t="n"/>
      <c r="E17" s="36" t="n"/>
      <c r="F17" s="36" t="n"/>
    </row>
    <row r="18">
      <c r="A18" s="36" t="n"/>
      <c r="B18" s="36" t="n"/>
      <c r="C18" s="36" t="n"/>
      <c r="D18" s="36" t="n"/>
      <c r="E18" s="36" t="n"/>
      <c r="F18" s="36" t="n"/>
    </row>
    <row r="19">
      <c r="A19" s="36" t="n"/>
      <c r="B19" s="36" t="n"/>
      <c r="C19" s="36" t="n"/>
      <c r="D19" s="36" t="n"/>
      <c r="E19" s="36" t="n"/>
      <c r="F19" s="36" t="n"/>
    </row>
    <row r="20">
      <c r="A20" s="36" t="n"/>
      <c r="B20" s="36" t="n"/>
      <c r="C20" s="36" t="n"/>
      <c r="D20" s="36" t="n"/>
      <c r="E20" s="36" t="n"/>
      <c r="F20" s="36" t="n"/>
    </row>
    <row r="21">
      <c r="A21" s="36" t="n"/>
      <c r="B21" s="36" t="n"/>
      <c r="C21" s="36" t="n"/>
      <c r="D21" s="36" t="n"/>
      <c r="E21" s="36" t="n"/>
      <c r="F21" s="36" t="n"/>
    </row>
    <row r="22">
      <c r="A22" s="36" t="n"/>
      <c r="B22" s="36" t="n"/>
      <c r="C22" s="36" t="n"/>
      <c r="D22" s="36" t="n"/>
      <c r="E22" s="36" t="n"/>
      <c r="F22" s="36" t="n"/>
    </row>
    <row r="23">
      <c r="A23" s="36" t="n"/>
      <c r="B23" s="36" t="n"/>
      <c r="C23" s="36" t="n"/>
      <c r="D23" s="36" t="n"/>
      <c r="E23" s="36" t="n"/>
      <c r="F23" s="36" t="n"/>
    </row>
    <row r="24">
      <c r="A24" s="36" t="n"/>
      <c r="B24" s="36" t="n"/>
      <c r="C24" s="36" t="n"/>
      <c r="D24" s="36" t="n"/>
      <c r="E24" s="36" t="n"/>
      <c r="F24" s="36" t="n"/>
    </row>
    <row r="25">
      <c r="A25" s="36" t="n"/>
      <c r="B25" s="36" t="n"/>
      <c r="C25" s="36" t="n"/>
      <c r="D25" s="36" t="n"/>
      <c r="E25" s="36" t="n"/>
      <c r="F25" s="36" t="n"/>
    </row>
    <row r="26">
      <c r="A26" s="36" t="n"/>
      <c r="B26" s="36" t="n"/>
      <c r="C26" s="36" t="n"/>
      <c r="D26" s="36" t="n"/>
      <c r="E26" s="36" t="n"/>
      <c r="F26" s="36" t="n"/>
    </row>
    <row r="27">
      <c r="A27" s="36" t="n"/>
      <c r="B27" s="36" t="n"/>
      <c r="C27" s="36" t="n"/>
      <c r="D27" s="36" t="n"/>
      <c r="E27" s="36" t="n"/>
      <c r="F27" s="36" t="n"/>
    </row>
    <row r="28">
      <c r="A28" s="36" t="n"/>
      <c r="B28" s="36" t="n"/>
      <c r="C28" s="36" t="n"/>
      <c r="D28" s="36" t="n"/>
      <c r="E28" s="36" t="n"/>
      <c r="F28" s="36" t="n"/>
    </row>
    <row r="29">
      <c r="A29" s="36" t="n"/>
      <c r="B29" s="36" t="n"/>
      <c r="C29" s="36" t="n"/>
      <c r="D29" s="36" t="n"/>
      <c r="E29" s="36" t="n"/>
      <c r="F29" s="36" t="n"/>
    </row>
    <row r="30">
      <c r="A30" s="36" t="n"/>
      <c r="B30" s="36" t="n"/>
      <c r="C30" s="36" t="n"/>
      <c r="D30" s="36" t="n"/>
      <c r="E30" s="36" t="n"/>
      <c r="F30" s="36" t="n"/>
    </row>
    <row r="31">
      <c r="A31" s="36" t="n"/>
      <c r="B31" s="36" t="n"/>
      <c r="C31" s="36" t="n"/>
      <c r="D31" s="36" t="n"/>
      <c r="E31" s="36" t="n"/>
      <c r="F31" s="36" t="n"/>
    </row>
    <row r="32">
      <c r="A32" s="36" t="n"/>
      <c r="B32" s="36" t="n"/>
      <c r="C32" s="36" t="n"/>
      <c r="D32" s="36" t="n"/>
      <c r="E32" s="36" t="n"/>
      <c r="F32" s="36" t="n"/>
    </row>
    <row r="33">
      <c r="A33" s="36" t="n"/>
      <c r="B33" s="36" t="n"/>
      <c r="C33" s="36" t="n"/>
      <c r="D33" s="36" t="n"/>
      <c r="E33" s="36" t="n"/>
      <c r="F33" s="36" t="n"/>
    </row>
    <row r="34">
      <c r="A34" s="36" t="n"/>
      <c r="B34" s="36" t="n"/>
      <c r="C34" s="36" t="n"/>
      <c r="D34" s="36" t="n"/>
      <c r="E34" s="36" t="n"/>
      <c r="F34" s="36" t="n"/>
    </row>
    <row r="35">
      <c r="A35" s="36" t="n"/>
      <c r="B35" s="36" t="n"/>
      <c r="C35" s="36" t="n"/>
      <c r="D35" s="36" t="n"/>
      <c r="E35" s="36" t="n"/>
      <c r="F35" s="36" t="n"/>
    </row>
    <row r="36">
      <c r="A36" s="36" t="n"/>
      <c r="B36" s="36" t="n"/>
      <c r="C36" s="36" t="n"/>
      <c r="D36" s="36" t="n"/>
      <c r="E36" s="36" t="n"/>
      <c r="F36" s="36" t="n"/>
    </row>
    <row r="37">
      <c r="A37" s="36" t="n"/>
      <c r="B37" s="36" t="n"/>
      <c r="C37" s="36" t="n"/>
      <c r="D37" s="36" t="n"/>
      <c r="E37" s="36" t="n"/>
      <c r="F37" s="36" t="n"/>
    </row>
    <row r="38">
      <c r="A38" s="36" t="n"/>
      <c r="B38" s="36" t="n"/>
      <c r="C38" s="36" t="n"/>
      <c r="D38" s="36" t="n"/>
      <c r="E38" s="36" t="n"/>
      <c r="F38" s="36" t="n"/>
    </row>
    <row r="39">
      <c r="A39" s="36" t="n"/>
      <c r="B39" s="36" t="n"/>
      <c r="C39" s="36" t="n"/>
      <c r="D39" s="36" t="n"/>
      <c r="E39" s="36" t="n"/>
      <c r="F39" s="36" t="n"/>
    </row>
  </sheetData>
  <mergeCells count="1">
    <mergeCell ref="A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  <col width="60" customWidth="1" min="8" max="8"/>
  </cols>
  <sheetData>
    <row r="1" ht="24" customHeight="1">
      <c r="A1" s="38" t="inlineStr">
        <is>
          <t>RESERVE QUALITY – ASURANSI JIWA</t>
        </is>
      </c>
    </row>
    <row r="2">
      <c r="A2" s="3" t="inlineStr">
        <is>
          <t>Fokus</t>
        </is>
      </c>
      <c r="B2" s="3" t="inlineStr">
        <is>
          <t>CY</t>
        </is>
      </c>
      <c r="C2" s="3" t="inlineStr">
        <is>
          <t>PY</t>
        </is>
      </c>
      <c r="D2" s="3" t="inlineStr">
        <is>
          <t>Assessment</t>
        </is>
      </c>
      <c r="E2" s="3" t="inlineStr">
        <is>
          <t>Flag</t>
        </is>
      </c>
      <c r="F2" s="3" t="inlineStr">
        <is>
          <t>Narasi</t>
        </is>
      </c>
    </row>
    <row r="3" ht="34" customHeight="1">
      <c r="A3" s="11" t="inlineStr">
        <is>
          <t>Insurance contract liabilities</t>
        </is>
      </c>
      <c r="B3" s="11">
        <f>Input_IFRS17_Detail!C13</f>
        <v/>
      </c>
      <c r="C3" s="11">
        <f>Input_IFRS17_Detail!D13</f>
        <v/>
      </c>
      <c r="D3" s="11" t="inlineStr">
        <is>
          <t>Informasional</t>
        </is>
      </c>
      <c r="E3" s="11" t="inlineStr">
        <is>
          <t>Info</t>
        </is>
      </c>
      <c r="F3" s="11">
        <f> "Total insurance contract liabilities sebesar " &amp; TEXT(B3,"#,##0") &amp; "."</f>
        <v/>
      </c>
    </row>
    <row r="4" ht="34" customHeight="1">
      <c r="A4" s="11" t="inlineStr">
        <is>
          <t>LRC share</t>
        </is>
      </c>
      <c r="B4" s="11">
        <f>IFERROR(Input_IFRS17_Detail!C16/Input_IFRS17_Detail!C13,"")</f>
        <v/>
      </c>
      <c r="C4" s="11">
        <f>IFERROR(Input_IFRS17_Detail!D16/Input_IFRS17_Detail!D13,"")</f>
        <v/>
      </c>
      <c r="D4" s="11">
        <f>IF(B4&gt;=0.5,"Dominan future service","Dominan incurred claims")</f>
        <v/>
      </c>
      <c r="E4" s="11" t="inlineStr">
        <is>
          <t>Info</t>
        </is>
      </c>
      <c r="F4" s="11">
        <f> "LRC mencakup " &amp; TEXT(B4,"0.0%") &amp; " dari insurance contract liabilities."</f>
        <v/>
      </c>
    </row>
    <row r="5" ht="34" customHeight="1">
      <c r="A5" s="11" t="inlineStr">
        <is>
          <t>LIC share</t>
        </is>
      </c>
      <c r="B5" s="11">
        <f>IFERROR(Input_IFRS17_Detail!C17/Input_IFRS17_Detail!C13,"")</f>
        <v/>
      </c>
      <c r="C5" s="11">
        <f>IFERROR(Input_IFRS17_Detail!D17/Input_IFRS17_Detail!D13,"")</f>
        <v/>
      </c>
      <c r="D5" s="11" t="inlineStr">
        <is>
          <t>Informasional</t>
        </is>
      </c>
      <c r="E5" s="11" t="inlineStr">
        <is>
          <t>Info</t>
        </is>
      </c>
      <c r="F5" s="11">
        <f> "LIC mencakup " &amp; TEXT(B5,"0.0%") &amp; " dari insurance contract liabilities."</f>
        <v/>
      </c>
    </row>
    <row r="6" ht="34" customHeight="1">
      <c r="A6" s="11" t="inlineStr">
        <is>
          <t>Loss component / liabilities</t>
        </is>
      </c>
      <c r="B6" s="11">
        <f>IFERROR(Input_IFRS17_Detail!C18/Input_IFRS17_Detail!C13,"")</f>
        <v/>
      </c>
      <c r="C6" s="11">
        <f>IFERROR(Input_IFRS17_Detail!D18/Input_IFRS17_Detail!D13,"")</f>
        <v/>
      </c>
      <c r="D6" s="11">
        <f>IF(B6&lt;=0.05,"Rendah","Perlu review")</f>
        <v/>
      </c>
      <c r="E6" s="11">
        <f>IF(B6&lt;=0.05,"OK","Watch")</f>
        <v/>
      </c>
      <c r="F6" s="11">
        <f>IF(B6&lt;=0.05,"Porsi onerous/loss component masih rendah.","Loss component relatif material dan perlu ditelaah per cohort.")</f>
        <v/>
      </c>
    </row>
    <row r="7" ht="34" customHeight="1">
      <c r="A7" s="11" t="inlineStr">
        <is>
          <t>RA / LIC</t>
        </is>
      </c>
      <c r="B7" s="11">
        <f>IFERROR(Input_IFRS17_Detail!C19/Input_IFRS17_Detail!C17,"")</f>
        <v/>
      </c>
      <c r="C7" s="11">
        <f>IFERROR(Input_IFRS17_Detail!D19/Input_IFRS17_Detail!D17,"")</f>
        <v/>
      </c>
      <c r="D7" s="11" t="inlineStr">
        <is>
          <t>Informasional</t>
        </is>
      </c>
      <c r="E7" s="11" t="inlineStr">
        <is>
          <t>Info</t>
        </is>
      </c>
      <c r="F7" s="11">
        <f> "Risk adjustment setara " &amp; TEXT(B7,"0.0%") &amp; " dari LIC."</f>
        <v/>
      </c>
    </row>
    <row r="8" ht="34" customHeight="1">
      <c r="A8" s="11" t="inlineStr">
        <is>
          <t>CSM buffer / liabilities</t>
        </is>
      </c>
      <c r="B8" s="11">
        <f>IFERROR(Input_IFRS17_Detail!C26/Input_IFRS17_Detail!C13,"")</f>
        <v/>
      </c>
      <c r="C8" s="11">
        <f>IFERROR(Input_IFRS17_Detail!D26/Input_IFRS17_Detail!D13,"")</f>
        <v/>
      </c>
      <c r="D8" s="11">
        <f>IF(B8&gt;=0.1,"Baik","Tipis")</f>
        <v/>
      </c>
      <c r="E8" s="11">
        <f>IF(B8&gt;=0.1,"OK","Watch")</f>
        <v/>
      </c>
      <c r="F8" s="11">
        <f>IF(B8&gt;=0.1,"CSM memberi penyangga laba masa depan yang terlihat memadai.","CSM relatif kecil dibanding liabilitas kontrak.")</f>
        <v/>
      </c>
    </row>
    <row r="9">
      <c r="A9" s="36" t="n"/>
      <c r="B9" s="36" t="n"/>
      <c r="C9" s="36" t="n"/>
      <c r="D9" s="36" t="n"/>
      <c r="E9" s="36" t="n"/>
      <c r="F9" s="36" t="n"/>
    </row>
    <row r="10">
      <c r="A10" s="36" t="n"/>
      <c r="B10" s="36" t="n"/>
      <c r="C10" s="36" t="n"/>
      <c r="D10" s="36" t="n"/>
      <c r="E10" s="36" t="n"/>
      <c r="F10" s="36" t="n"/>
    </row>
    <row r="11">
      <c r="A11" s="36" t="n"/>
      <c r="B11" s="36" t="n"/>
      <c r="C11" s="36" t="n"/>
      <c r="D11" s="36" t="n"/>
      <c r="E11" s="36" t="n"/>
      <c r="F11" s="36" t="n"/>
    </row>
    <row r="12">
      <c r="A12" s="36" t="n"/>
      <c r="B12" s="36" t="n"/>
      <c r="C12" s="36" t="n"/>
      <c r="D12" s="36" t="n"/>
      <c r="E12" s="36" t="n"/>
      <c r="F12" s="36" t="n"/>
    </row>
    <row r="13">
      <c r="A13" s="36" t="n"/>
      <c r="B13" s="36" t="n"/>
      <c r="C13" s="36" t="n"/>
      <c r="D13" s="36" t="n"/>
      <c r="E13" s="36" t="n"/>
      <c r="F13" s="36" t="n"/>
    </row>
    <row r="14">
      <c r="A14" s="36" t="n"/>
      <c r="B14" s="36" t="n"/>
      <c r="C14" s="36" t="n"/>
      <c r="D14" s="36" t="n"/>
      <c r="E14" s="36" t="n"/>
      <c r="F14" s="36" t="n"/>
    </row>
    <row r="15">
      <c r="A15" s="36" t="n"/>
      <c r="B15" s="36" t="n"/>
      <c r="C15" s="36" t="n"/>
      <c r="D15" s="36" t="n"/>
      <c r="E15" s="36" t="n"/>
      <c r="F15" s="36" t="n"/>
    </row>
    <row r="16">
      <c r="A16" s="36" t="n"/>
      <c r="B16" s="36" t="n"/>
      <c r="C16" s="36" t="n"/>
      <c r="D16" s="36" t="n"/>
      <c r="E16" s="36" t="n"/>
      <c r="F16" s="36" t="n"/>
    </row>
    <row r="17">
      <c r="A17" s="36" t="n"/>
      <c r="B17" s="36" t="n"/>
      <c r="C17" s="36" t="n"/>
      <c r="D17" s="36" t="n"/>
      <c r="E17" s="36" t="n"/>
      <c r="F17" s="36" t="n"/>
    </row>
    <row r="18">
      <c r="A18" s="36" t="n"/>
      <c r="B18" s="36" t="n"/>
      <c r="C18" s="36" t="n"/>
      <c r="D18" s="36" t="n"/>
      <c r="E18" s="36" t="n"/>
      <c r="F18" s="36" t="n"/>
    </row>
    <row r="19">
      <c r="A19" s="36" t="n"/>
      <c r="B19" s="36" t="n"/>
      <c r="C19" s="36" t="n"/>
      <c r="D19" s="36" t="n"/>
      <c r="E19" s="36" t="n"/>
      <c r="F19" s="36" t="n"/>
    </row>
    <row r="20">
      <c r="A20" s="36" t="n"/>
      <c r="B20" s="36" t="n"/>
      <c r="C20" s="36" t="n"/>
      <c r="D20" s="36" t="n"/>
      <c r="E20" s="36" t="n"/>
      <c r="F20" s="36" t="n"/>
    </row>
    <row r="21">
      <c r="A21" s="36" t="n"/>
      <c r="B21" s="36" t="n"/>
      <c r="C21" s="36" t="n"/>
      <c r="D21" s="36" t="n"/>
      <c r="E21" s="36" t="n"/>
      <c r="F21" s="36" t="n"/>
    </row>
    <row r="22">
      <c r="A22" s="36" t="n"/>
      <c r="B22" s="36" t="n"/>
      <c r="C22" s="36" t="n"/>
      <c r="D22" s="36" t="n"/>
      <c r="E22" s="36" t="n"/>
      <c r="F22" s="36" t="n"/>
    </row>
    <row r="23">
      <c r="A23" s="36" t="n"/>
      <c r="B23" s="36" t="n"/>
      <c r="C23" s="36" t="n"/>
      <c r="D23" s="36" t="n"/>
      <c r="E23" s="36" t="n"/>
      <c r="F23" s="36" t="n"/>
    </row>
    <row r="24">
      <c r="A24" s="36" t="n"/>
      <c r="B24" s="36" t="n"/>
      <c r="C24" s="36" t="n"/>
      <c r="D24" s="36" t="n"/>
      <c r="E24" s="36" t="n"/>
      <c r="F24" s="36" t="n"/>
    </row>
    <row r="25">
      <c r="A25" s="36" t="n"/>
      <c r="B25" s="36" t="n"/>
      <c r="C25" s="36" t="n"/>
      <c r="D25" s="36" t="n"/>
      <c r="E25" s="36" t="n"/>
      <c r="F25" s="36" t="n"/>
    </row>
    <row r="26">
      <c r="A26" s="36" t="n"/>
      <c r="B26" s="36" t="n"/>
      <c r="C26" s="36" t="n"/>
      <c r="D26" s="36" t="n"/>
      <c r="E26" s="36" t="n"/>
      <c r="F26" s="36" t="n"/>
    </row>
    <row r="27">
      <c r="A27" s="36" t="n"/>
      <c r="B27" s="36" t="n"/>
      <c r="C27" s="36" t="n"/>
      <c r="D27" s="36" t="n"/>
      <c r="E27" s="36" t="n"/>
      <c r="F27" s="36" t="n"/>
    </row>
    <row r="28">
      <c r="A28" s="36" t="n"/>
      <c r="B28" s="36" t="n"/>
      <c r="C28" s="36" t="n"/>
      <c r="D28" s="36" t="n"/>
      <c r="E28" s="36" t="n"/>
      <c r="F28" s="36" t="n"/>
    </row>
    <row r="29">
      <c r="A29" s="36" t="n"/>
      <c r="B29" s="36" t="n"/>
      <c r="C29" s="36" t="n"/>
      <c r="D29" s="36" t="n"/>
      <c r="E29" s="36" t="n"/>
      <c r="F29" s="36" t="n"/>
    </row>
    <row r="30">
      <c r="A30" s="36" t="n"/>
      <c r="B30" s="36" t="n"/>
      <c r="C30" s="36" t="n"/>
      <c r="D30" s="36" t="n"/>
      <c r="E30" s="36" t="n"/>
      <c r="F30" s="36" t="n"/>
    </row>
    <row r="31">
      <c r="A31" s="36" t="n"/>
      <c r="B31" s="36" t="n"/>
      <c r="C31" s="36" t="n"/>
      <c r="D31" s="36" t="n"/>
      <c r="E31" s="36" t="n"/>
      <c r="F31" s="36" t="n"/>
    </row>
    <row r="32">
      <c r="A32" s="36" t="n"/>
      <c r="B32" s="36" t="n"/>
      <c r="C32" s="36" t="n"/>
      <c r="D32" s="36" t="n"/>
      <c r="E32" s="36" t="n"/>
      <c r="F32" s="36" t="n"/>
    </row>
    <row r="33">
      <c r="A33" s="36" t="n"/>
      <c r="B33" s="36" t="n"/>
      <c r="C33" s="36" t="n"/>
      <c r="D33" s="36" t="n"/>
      <c r="E33" s="36" t="n"/>
      <c r="F33" s="36" t="n"/>
    </row>
    <row r="34">
      <c r="A34" s="36" t="n"/>
      <c r="B34" s="36" t="n"/>
      <c r="C34" s="36" t="n"/>
      <c r="D34" s="36" t="n"/>
      <c r="E34" s="36" t="n"/>
      <c r="F34" s="36" t="n"/>
    </row>
    <row r="35">
      <c r="A35" s="36" t="n"/>
      <c r="B35" s="36" t="n"/>
      <c r="C35" s="36" t="n"/>
      <c r="D35" s="36" t="n"/>
      <c r="E35" s="36" t="n"/>
      <c r="F35" s="36" t="n"/>
    </row>
    <row r="36">
      <c r="A36" s="36" t="n"/>
      <c r="B36" s="36" t="n"/>
      <c r="C36" s="36" t="n"/>
      <c r="D36" s="36" t="n"/>
      <c r="E36" s="36" t="n"/>
      <c r="F36" s="36" t="n"/>
    </row>
    <row r="37">
      <c r="A37" s="36" t="n"/>
      <c r="B37" s="36" t="n"/>
      <c r="C37" s="36" t="n"/>
      <c r="D37" s="36" t="n"/>
      <c r="E37" s="36" t="n"/>
      <c r="F37" s="36" t="n"/>
    </row>
    <row r="38">
      <c r="A38" s="36" t="n"/>
      <c r="B38" s="36" t="n"/>
      <c r="C38" s="36" t="n"/>
      <c r="D38" s="36" t="n"/>
      <c r="E38" s="36" t="n"/>
      <c r="F38" s="36" t="n"/>
    </row>
    <row r="39">
      <c r="A39" s="36" t="n"/>
      <c r="B39" s="36" t="n"/>
      <c r="C39" s="36" t="n"/>
      <c r="D39" s="36" t="n"/>
      <c r="E39" s="36" t="n"/>
      <c r="F39" s="36" t="n"/>
    </row>
  </sheetData>
  <mergeCells count="1"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  <col width="60" customWidth="1" min="8" max="8"/>
  </cols>
  <sheetData>
    <row r="1" ht="24" customHeight="1">
      <c r="A1" s="38" t="inlineStr">
        <is>
          <t>REINSURANCE DEPENDENCE – ASURANSI JIWA</t>
        </is>
      </c>
    </row>
    <row r="2">
      <c r="A2" s="3" t="inlineStr">
        <is>
          <t>Fokus</t>
        </is>
      </c>
      <c r="B2" s="3" t="inlineStr">
        <is>
          <t>CY</t>
        </is>
      </c>
      <c r="C2" s="3" t="inlineStr">
        <is>
          <t>PY</t>
        </is>
      </c>
      <c r="D2" s="3" t="inlineStr">
        <is>
          <t>Assessment</t>
        </is>
      </c>
      <c r="E2" s="3" t="inlineStr">
        <is>
          <t>Flag</t>
        </is>
      </c>
      <c r="F2" s="3" t="inlineStr">
        <is>
          <t>Narasi</t>
        </is>
      </c>
    </row>
    <row r="3" ht="34" customHeight="1">
      <c r="A3" s="11" t="inlineStr">
        <is>
          <t>Reinsurance asset / equity</t>
        </is>
      </c>
      <c r="B3" s="11">
        <f>IFERROR(Input_IFRS17_Detail!C14/Input_SFP!C34,"")</f>
        <v/>
      </c>
      <c r="C3" s="11">
        <f>IFERROR(Input_IFRS17_Detail!D14/Input_SFP!D34,"")</f>
        <v/>
      </c>
      <c r="D3" s="11">
        <f>IF(B3&lt;=0.5,"Rendah","Meningkat")</f>
        <v/>
      </c>
      <c r="E3" s="11">
        <f>IF(B3&lt;=0.5,"OK","Watch")</f>
        <v/>
      </c>
      <c r="F3" s="11">
        <f> "Reinsurance asset setara " &amp; TEXT(B3,"0.0%") &amp; " dari ekuitas."</f>
        <v/>
      </c>
    </row>
    <row r="4" ht="34" customHeight="1">
      <c r="A4" s="11" t="inlineStr">
        <is>
          <t>Cession ratio</t>
        </is>
      </c>
      <c r="B4" s="11">
        <f>Rasio!C9</f>
        <v/>
      </c>
      <c r="C4" s="11">
        <f>Rasio!D9</f>
        <v/>
      </c>
      <c r="D4" s="11">
        <f>IF(B4&lt;=Setup!B27,"Moderat","Tinggi")</f>
        <v/>
      </c>
      <c r="E4" s="11">
        <f>IF(B4&lt;=Setup!B27,"OK","Watch")</f>
        <v/>
      </c>
      <c r="F4" s="11">
        <f>IF(B4&lt;=Setup!B27,"Ketergantungan reasuransi masih moderat.","Ketergantungan reasuransi relatif tinggi.")</f>
        <v/>
      </c>
    </row>
    <row r="5" ht="34" customHeight="1">
      <c r="A5" s="11" t="inlineStr">
        <is>
          <t>Reinsurance result / revenue</t>
        </is>
      </c>
      <c r="B5" s="11">
        <f>IFERROR(ABS(Input_IFRS17_Detail!C8)/Input_IFRS17_Detail!C3,"")</f>
        <v/>
      </c>
      <c r="C5" s="11">
        <f>IFERROR(ABS(Input_IFRS17_Detail!D8)/Input_IFRS17_Detail!D3,"")</f>
        <v/>
      </c>
      <c r="D5" s="11" t="inlineStr">
        <is>
          <t>Informasional</t>
        </is>
      </c>
      <c r="E5" s="11" t="inlineStr">
        <is>
          <t>Info</t>
        </is>
      </c>
      <c r="F5" s="11">
        <f> "Beban/(pendapatan) reasuransi setara " &amp; TEXT(B5,"0.0%") &amp; " dari insurance revenue."</f>
        <v/>
      </c>
    </row>
    <row r="6" ht="34" customHeight="1">
      <c r="A6" s="11" t="inlineStr">
        <is>
          <t>Reinsurance liabilities / reinsurance assets</t>
        </is>
      </c>
      <c r="B6" s="11">
        <f>IFERROR(Input_IFRS17_Detail!C15/MAX(Input_IFRS17_Detail!C14,1),"")</f>
        <v/>
      </c>
      <c r="C6" s="11">
        <f>IFERROR(Input_IFRS17_Detail!D15/MAX(Input_IFRS17_Detail!D14,1),"")</f>
        <v/>
      </c>
      <c r="D6" s="11">
        <f>IF(B6&lt;=0.5,"Ringan","Perlu review")</f>
        <v/>
      </c>
      <c r="E6" s="11">
        <f>IF(B6&lt;=0.5,"OK","Watch")</f>
        <v/>
      </c>
      <c r="F6" s="11">
        <f> "Reinsurance liabilities sebesar " &amp; TEXT(B6,"0.0%") &amp; " dari reinsurance assets."</f>
        <v/>
      </c>
    </row>
    <row r="7">
      <c r="A7" s="36" t="n"/>
      <c r="B7" s="36" t="n"/>
      <c r="C7" s="36" t="n"/>
      <c r="D7" s="36" t="n"/>
      <c r="E7" s="36" t="n"/>
      <c r="F7" s="36" t="n"/>
    </row>
    <row r="8">
      <c r="A8" s="36" t="n"/>
      <c r="B8" s="36" t="n"/>
      <c r="C8" s="36" t="n"/>
      <c r="D8" s="36" t="n"/>
      <c r="E8" s="36" t="n"/>
      <c r="F8" s="36" t="n"/>
    </row>
    <row r="9">
      <c r="A9" s="36" t="n"/>
      <c r="B9" s="36" t="n"/>
      <c r="C9" s="36" t="n"/>
      <c r="D9" s="36" t="n"/>
      <c r="E9" s="36" t="n"/>
      <c r="F9" s="36" t="n"/>
    </row>
    <row r="10">
      <c r="A10" s="36" t="n"/>
      <c r="B10" s="36" t="n"/>
      <c r="C10" s="36" t="n"/>
      <c r="D10" s="36" t="n"/>
      <c r="E10" s="36" t="n"/>
      <c r="F10" s="36" t="n"/>
    </row>
    <row r="11">
      <c r="A11" s="36" t="n"/>
      <c r="B11" s="36" t="n"/>
      <c r="C11" s="36" t="n"/>
      <c r="D11" s="36" t="n"/>
      <c r="E11" s="36" t="n"/>
      <c r="F11" s="36" t="n"/>
    </row>
    <row r="12">
      <c r="A12" s="36" t="n"/>
      <c r="B12" s="36" t="n"/>
      <c r="C12" s="36" t="n"/>
      <c r="D12" s="36" t="n"/>
      <c r="E12" s="36" t="n"/>
      <c r="F12" s="36" t="n"/>
    </row>
    <row r="13">
      <c r="A13" s="36" t="n"/>
      <c r="B13" s="36" t="n"/>
      <c r="C13" s="36" t="n"/>
      <c r="D13" s="36" t="n"/>
      <c r="E13" s="36" t="n"/>
      <c r="F13" s="36" t="n"/>
    </row>
    <row r="14">
      <c r="A14" s="36" t="n"/>
      <c r="B14" s="36" t="n"/>
      <c r="C14" s="36" t="n"/>
      <c r="D14" s="36" t="n"/>
      <c r="E14" s="36" t="n"/>
      <c r="F14" s="36" t="n"/>
    </row>
    <row r="15">
      <c r="A15" s="36" t="n"/>
      <c r="B15" s="36" t="n"/>
      <c r="C15" s="36" t="n"/>
      <c r="D15" s="36" t="n"/>
      <c r="E15" s="36" t="n"/>
      <c r="F15" s="36" t="n"/>
    </row>
    <row r="16">
      <c r="A16" s="36" t="n"/>
      <c r="B16" s="36" t="n"/>
      <c r="C16" s="36" t="n"/>
      <c r="D16" s="36" t="n"/>
      <c r="E16" s="36" t="n"/>
      <c r="F16" s="36" t="n"/>
    </row>
    <row r="17">
      <c r="A17" s="36" t="n"/>
      <c r="B17" s="36" t="n"/>
      <c r="C17" s="36" t="n"/>
      <c r="D17" s="36" t="n"/>
      <c r="E17" s="36" t="n"/>
      <c r="F17" s="36" t="n"/>
    </row>
    <row r="18">
      <c r="A18" s="36" t="n"/>
      <c r="B18" s="36" t="n"/>
      <c r="C18" s="36" t="n"/>
      <c r="D18" s="36" t="n"/>
      <c r="E18" s="36" t="n"/>
      <c r="F18" s="36" t="n"/>
    </row>
    <row r="19">
      <c r="A19" s="36" t="n"/>
      <c r="B19" s="36" t="n"/>
      <c r="C19" s="36" t="n"/>
      <c r="D19" s="36" t="n"/>
      <c r="E19" s="36" t="n"/>
      <c r="F19" s="36" t="n"/>
    </row>
    <row r="20">
      <c r="A20" s="36" t="n"/>
      <c r="B20" s="36" t="n"/>
      <c r="C20" s="36" t="n"/>
      <c r="D20" s="36" t="n"/>
      <c r="E20" s="36" t="n"/>
      <c r="F20" s="36" t="n"/>
    </row>
    <row r="21">
      <c r="A21" s="36" t="n"/>
      <c r="B21" s="36" t="n"/>
      <c r="C21" s="36" t="n"/>
      <c r="D21" s="36" t="n"/>
      <c r="E21" s="36" t="n"/>
      <c r="F21" s="36" t="n"/>
    </row>
    <row r="22">
      <c r="A22" s="36" t="n"/>
      <c r="B22" s="36" t="n"/>
      <c r="C22" s="36" t="n"/>
      <c r="D22" s="36" t="n"/>
      <c r="E22" s="36" t="n"/>
      <c r="F22" s="36" t="n"/>
    </row>
    <row r="23">
      <c r="A23" s="36" t="n"/>
      <c r="B23" s="36" t="n"/>
      <c r="C23" s="36" t="n"/>
      <c r="D23" s="36" t="n"/>
      <c r="E23" s="36" t="n"/>
      <c r="F23" s="36" t="n"/>
    </row>
    <row r="24">
      <c r="A24" s="36" t="n"/>
      <c r="B24" s="36" t="n"/>
      <c r="C24" s="36" t="n"/>
      <c r="D24" s="36" t="n"/>
      <c r="E24" s="36" t="n"/>
      <c r="F24" s="36" t="n"/>
    </row>
    <row r="25">
      <c r="A25" s="36" t="n"/>
      <c r="B25" s="36" t="n"/>
      <c r="C25" s="36" t="n"/>
      <c r="D25" s="36" t="n"/>
      <c r="E25" s="36" t="n"/>
      <c r="F25" s="36" t="n"/>
    </row>
    <row r="26">
      <c r="A26" s="36" t="n"/>
      <c r="B26" s="36" t="n"/>
      <c r="C26" s="36" t="n"/>
      <c r="D26" s="36" t="n"/>
      <c r="E26" s="36" t="n"/>
      <c r="F26" s="36" t="n"/>
    </row>
    <row r="27">
      <c r="A27" s="36" t="n"/>
      <c r="B27" s="36" t="n"/>
      <c r="C27" s="36" t="n"/>
      <c r="D27" s="36" t="n"/>
      <c r="E27" s="36" t="n"/>
      <c r="F27" s="36" t="n"/>
    </row>
    <row r="28">
      <c r="A28" s="36" t="n"/>
      <c r="B28" s="36" t="n"/>
      <c r="C28" s="36" t="n"/>
      <c r="D28" s="36" t="n"/>
      <c r="E28" s="36" t="n"/>
      <c r="F28" s="36" t="n"/>
    </row>
    <row r="29">
      <c r="A29" s="36" t="n"/>
      <c r="B29" s="36" t="n"/>
      <c r="C29" s="36" t="n"/>
      <c r="D29" s="36" t="n"/>
      <c r="E29" s="36" t="n"/>
      <c r="F29" s="36" t="n"/>
    </row>
    <row r="30">
      <c r="A30" s="36" t="n"/>
      <c r="B30" s="36" t="n"/>
      <c r="C30" s="36" t="n"/>
      <c r="D30" s="36" t="n"/>
      <c r="E30" s="36" t="n"/>
      <c r="F30" s="36" t="n"/>
    </row>
    <row r="31">
      <c r="A31" s="36" t="n"/>
      <c r="B31" s="36" t="n"/>
      <c r="C31" s="36" t="n"/>
      <c r="D31" s="36" t="n"/>
      <c r="E31" s="36" t="n"/>
      <c r="F31" s="36" t="n"/>
    </row>
    <row r="32">
      <c r="A32" s="36" t="n"/>
      <c r="B32" s="36" t="n"/>
      <c r="C32" s="36" t="n"/>
      <c r="D32" s="36" t="n"/>
      <c r="E32" s="36" t="n"/>
      <c r="F32" s="36" t="n"/>
    </row>
    <row r="33">
      <c r="A33" s="36" t="n"/>
      <c r="B33" s="36" t="n"/>
      <c r="C33" s="36" t="n"/>
      <c r="D33" s="36" t="n"/>
      <c r="E33" s="36" t="n"/>
      <c r="F33" s="36" t="n"/>
    </row>
    <row r="34">
      <c r="A34" s="36" t="n"/>
      <c r="B34" s="36" t="n"/>
      <c r="C34" s="36" t="n"/>
      <c r="D34" s="36" t="n"/>
      <c r="E34" s="36" t="n"/>
      <c r="F34" s="36" t="n"/>
    </row>
    <row r="35">
      <c r="A35" s="36" t="n"/>
      <c r="B35" s="36" t="n"/>
      <c r="C35" s="36" t="n"/>
      <c r="D35" s="36" t="n"/>
      <c r="E35" s="36" t="n"/>
      <c r="F35" s="36" t="n"/>
    </row>
    <row r="36">
      <c r="A36" s="36" t="n"/>
      <c r="B36" s="36" t="n"/>
      <c r="C36" s="36" t="n"/>
      <c r="D36" s="36" t="n"/>
      <c r="E36" s="36" t="n"/>
      <c r="F36" s="36" t="n"/>
    </row>
    <row r="37">
      <c r="A37" s="36" t="n"/>
      <c r="B37" s="36" t="n"/>
      <c r="C37" s="36" t="n"/>
      <c r="D37" s="36" t="n"/>
      <c r="E37" s="36" t="n"/>
      <c r="F37" s="36" t="n"/>
    </row>
    <row r="38">
      <c r="A38" s="36" t="n"/>
      <c r="B38" s="36" t="n"/>
      <c r="C38" s="36" t="n"/>
      <c r="D38" s="36" t="n"/>
      <c r="E38" s="36" t="n"/>
      <c r="F38" s="36" t="n"/>
    </row>
    <row r="39">
      <c r="A39" s="36" t="n"/>
      <c r="B39" s="36" t="n"/>
      <c r="C39" s="36" t="n"/>
      <c r="D39" s="36" t="n"/>
      <c r="E39" s="36" t="n"/>
      <c r="F39" s="36" t="n"/>
    </row>
  </sheetData>
  <mergeCells count="1">
    <mergeCell ref="A1: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8" customWidth="1" min="7" max="7"/>
    <col width="60" customWidth="1" min="8" max="8"/>
  </cols>
  <sheetData>
    <row r="1" ht="24" customHeight="1">
      <c r="A1" s="38" t="inlineStr">
        <is>
          <t>EARNINGS QUALITY – ASURANSI JIWA</t>
        </is>
      </c>
    </row>
    <row r="2">
      <c r="A2" s="39" t="inlineStr">
        <is>
          <t>Fokus</t>
        </is>
      </c>
      <c r="B2" s="39" t="inlineStr">
        <is>
          <t>CY</t>
        </is>
      </c>
      <c r="C2" s="39" t="inlineStr">
        <is>
          <t>PY</t>
        </is>
      </c>
      <c r="D2" s="39" t="inlineStr">
        <is>
          <t>Assessment</t>
        </is>
      </c>
      <c r="E2" s="39" t="inlineStr">
        <is>
          <t>Flag</t>
        </is>
      </c>
      <c r="F2" s="39" t="inlineStr">
        <is>
          <t>Narasi</t>
        </is>
      </c>
    </row>
    <row r="3" ht="34" customHeight="1">
      <c r="A3" s="11" t="inlineStr">
        <is>
          <t>Profit for the year</t>
        </is>
      </c>
      <c r="B3" s="11">
        <f>Input_PL_OCI!C16</f>
        <v/>
      </c>
      <c r="C3" s="11">
        <f>Input_PL_OCI!D16</f>
        <v/>
      </c>
      <c r="D3" s="11">
        <f>IF(B3&gt;=0,"Positif","Negatif")</f>
        <v/>
      </c>
      <c r="E3" s="11">
        <f>IF(B3&gt;=0,"OK","Watch")</f>
        <v/>
      </c>
      <c r="F3" s="11">
        <f> "Laba tahun berjalan sebesar " &amp; TEXT(B3,"#,##0") &amp; "."</f>
        <v/>
      </c>
    </row>
    <row r="4" ht="34" customHeight="1">
      <c r="A4" s="11" t="inlineStr">
        <is>
          <t>OCI / profit</t>
        </is>
      </c>
      <c r="B4" s="11">
        <f>IFERROR(Input_PL_OCI!C20/MAX(ABS(Input_PL_OCI!C16),1),"")</f>
        <v/>
      </c>
      <c r="C4" s="11">
        <f>IFERROR(Input_PL_OCI!D20/MAX(ABS(Input_PL_OCI!D16),1),"")</f>
        <v/>
      </c>
      <c r="D4" s="11">
        <f>IF(ABS(B4)&lt;=0.5,"Seimbang","Volatil")</f>
        <v/>
      </c>
      <c r="E4" s="11">
        <f>IF(ABS(B4)&lt;=0.5,"OK","Watch")</f>
        <v/>
      </c>
      <c r="F4" s="11">
        <f> "OCI setara " &amp; TEXT(B4,"0.0x") &amp; " dari laba tahun berjalan."</f>
        <v/>
      </c>
    </row>
    <row r="5" ht="34" customHeight="1">
      <c r="A5" s="11" t="inlineStr">
        <is>
          <t>Service result / PBT</t>
        </is>
      </c>
      <c r="B5" s="11">
        <f>IFERROR(Input_IFRS17_Detail!C9/MAX(Input_PL_OCI!C14,1),"")</f>
        <v/>
      </c>
      <c r="C5" s="11">
        <f>IFERROR(Input_IFRS17_Detail!D9/MAX(Input_PL_OCI!D14,1),"")</f>
        <v/>
      </c>
      <c r="D5" s="11">
        <f>IF(B5&gt;=0.5,"Core-driven","Non-core heavy")</f>
        <v/>
      </c>
      <c r="E5" s="11">
        <f>IF(B5&gt;=0.5,"OK","Watch")</f>
        <v/>
      </c>
      <c r="F5" s="11">
        <f>IF(B5&gt;=0.5,"Sebagian besar laba sebelum pajak ditopang hasil jasa.","Laba sebelum pajak lebih banyak ditopang item non-core / volatil.")</f>
        <v/>
      </c>
    </row>
    <row r="6" ht="34" customHeight="1">
      <c r="A6" s="11" t="inlineStr">
        <is>
          <t>Investment result / PBT</t>
        </is>
      </c>
      <c r="B6" s="11">
        <f>IFERROR(Input_PL_OCI!C7/MAX(Input_PL_OCI!C14,1),"")</f>
        <v/>
      </c>
      <c r="C6" s="11">
        <f>IFERROR(Input_PL_OCI!D7/MAX(Input_PL_OCI!D14,1),"")</f>
        <v/>
      </c>
      <c r="D6" s="11" t="inlineStr">
        <is>
          <t>Informasional</t>
        </is>
      </c>
      <c r="E6" s="11" t="inlineStr">
        <is>
          <t>Info</t>
        </is>
      </c>
      <c r="F6" s="11">
        <f> "Kontribusi hasil investasi setara " &amp; TEXT(B6,"0.0x") &amp; " dari laba sebelum pajak."</f>
        <v/>
      </c>
    </row>
    <row r="7" ht="34" customHeight="1">
      <c r="A7" s="11" t="inlineStr">
        <is>
          <t>OCF / profit</t>
        </is>
      </c>
      <c r="B7" s="11">
        <f>Rasio!C12</f>
        <v/>
      </c>
      <c r="C7" s="11">
        <f>Rasio!D12</f>
        <v/>
      </c>
      <c r="D7" s="11">
        <f>IF(B7&gt;=Setup!B23,"Baik","Lemah")</f>
        <v/>
      </c>
      <c r="E7" s="11">
        <f>IF(B7&gt;=Setup!B23,"OK","Watch")</f>
        <v/>
      </c>
      <c r="F7" s="11">
        <f>IF(B7&gt;=Setup!B23,"Laba relatif terkover oleh kas operasi.","Kualitas laba perlu review karena kas operasi lemah.")</f>
        <v/>
      </c>
    </row>
    <row r="8">
      <c r="A8" s="36" t="n"/>
      <c r="B8" s="36" t="n"/>
      <c r="C8" s="36" t="n"/>
      <c r="D8" s="36" t="n"/>
      <c r="E8" s="36" t="n"/>
      <c r="F8" s="36" t="n"/>
    </row>
    <row r="9">
      <c r="A9" s="36" t="n"/>
      <c r="B9" s="36" t="n"/>
      <c r="C9" s="36" t="n"/>
      <c r="D9" s="36" t="n"/>
      <c r="E9" s="36" t="n"/>
      <c r="F9" s="36" t="n"/>
    </row>
    <row r="10">
      <c r="A10" s="36" t="n"/>
      <c r="B10" s="36" t="n"/>
      <c r="C10" s="36" t="n"/>
      <c r="D10" s="36" t="n"/>
      <c r="E10" s="36" t="n"/>
      <c r="F10" s="36" t="n"/>
    </row>
    <row r="11">
      <c r="A11" s="36" t="n"/>
      <c r="B11" s="36" t="n"/>
      <c r="C11" s="36" t="n"/>
      <c r="D11" s="36" t="n"/>
      <c r="E11" s="36" t="n"/>
      <c r="F11" s="36" t="n"/>
    </row>
    <row r="12">
      <c r="A12" s="36" t="n"/>
      <c r="B12" s="36" t="n"/>
      <c r="C12" s="36" t="n"/>
      <c r="D12" s="36" t="n"/>
      <c r="E12" s="36" t="n"/>
      <c r="F12" s="36" t="n"/>
    </row>
    <row r="13">
      <c r="A13" s="36" t="n"/>
      <c r="B13" s="36" t="n"/>
      <c r="C13" s="36" t="n"/>
      <c r="D13" s="36" t="n"/>
      <c r="E13" s="36" t="n"/>
      <c r="F13" s="36" t="n"/>
    </row>
    <row r="14">
      <c r="A14" s="36" t="n"/>
      <c r="B14" s="36" t="n"/>
      <c r="C14" s="36" t="n"/>
      <c r="D14" s="36" t="n"/>
      <c r="E14" s="36" t="n"/>
      <c r="F14" s="36" t="n"/>
    </row>
    <row r="15">
      <c r="A15" s="36" t="n"/>
      <c r="B15" s="36" t="n"/>
      <c r="C15" s="36" t="n"/>
      <c r="D15" s="36" t="n"/>
      <c r="E15" s="36" t="n"/>
      <c r="F15" s="36" t="n"/>
    </row>
    <row r="16">
      <c r="A16" s="36" t="n"/>
      <c r="B16" s="36" t="n"/>
      <c r="C16" s="36" t="n"/>
      <c r="D16" s="36" t="n"/>
      <c r="E16" s="36" t="n"/>
      <c r="F16" s="36" t="n"/>
    </row>
    <row r="17">
      <c r="A17" s="36" t="n"/>
      <c r="B17" s="36" t="n"/>
      <c r="C17" s="36" t="n"/>
      <c r="D17" s="36" t="n"/>
      <c r="E17" s="36" t="n"/>
      <c r="F17" s="36" t="n"/>
    </row>
    <row r="18">
      <c r="A18" s="36" t="n"/>
      <c r="B18" s="36" t="n"/>
      <c r="C18" s="36" t="n"/>
      <c r="D18" s="36" t="n"/>
      <c r="E18" s="36" t="n"/>
      <c r="F18" s="36" t="n"/>
    </row>
    <row r="19">
      <c r="A19" s="36" t="n"/>
      <c r="B19" s="36" t="n"/>
      <c r="C19" s="36" t="n"/>
      <c r="D19" s="36" t="n"/>
      <c r="E19" s="36" t="n"/>
      <c r="F19" s="36" t="n"/>
    </row>
    <row r="20">
      <c r="A20" s="36" t="n"/>
      <c r="B20" s="36" t="n"/>
      <c r="C20" s="36" t="n"/>
      <c r="D20" s="36" t="n"/>
      <c r="E20" s="36" t="n"/>
      <c r="F20" s="36" t="n"/>
    </row>
    <row r="21">
      <c r="A21" s="36" t="n"/>
      <c r="B21" s="36" t="n"/>
      <c r="C21" s="36" t="n"/>
      <c r="D21" s="36" t="n"/>
      <c r="E21" s="36" t="n"/>
      <c r="F21" s="36" t="n"/>
    </row>
    <row r="22">
      <c r="A22" s="36" t="n"/>
      <c r="B22" s="36" t="n"/>
      <c r="C22" s="36" t="n"/>
      <c r="D22" s="36" t="n"/>
      <c r="E22" s="36" t="n"/>
      <c r="F22" s="36" t="n"/>
    </row>
    <row r="23">
      <c r="A23" s="36" t="n"/>
      <c r="B23" s="36" t="n"/>
      <c r="C23" s="36" t="n"/>
      <c r="D23" s="36" t="n"/>
      <c r="E23" s="36" t="n"/>
      <c r="F23" s="36" t="n"/>
    </row>
    <row r="24">
      <c r="A24" s="36" t="n"/>
      <c r="B24" s="36" t="n"/>
      <c r="C24" s="36" t="n"/>
      <c r="D24" s="36" t="n"/>
      <c r="E24" s="36" t="n"/>
      <c r="F24" s="36" t="n"/>
    </row>
    <row r="25">
      <c r="A25" s="36" t="n"/>
      <c r="B25" s="36" t="n"/>
      <c r="C25" s="36" t="n"/>
      <c r="D25" s="36" t="n"/>
      <c r="E25" s="36" t="n"/>
      <c r="F25" s="36" t="n"/>
    </row>
    <row r="26">
      <c r="A26" s="36" t="n"/>
      <c r="B26" s="36" t="n"/>
      <c r="C26" s="36" t="n"/>
      <c r="D26" s="36" t="n"/>
      <c r="E26" s="36" t="n"/>
      <c r="F26" s="36" t="n"/>
    </row>
    <row r="27">
      <c r="A27" s="36" t="n"/>
      <c r="B27" s="36" t="n"/>
      <c r="C27" s="36" t="n"/>
      <c r="D27" s="36" t="n"/>
      <c r="E27" s="36" t="n"/>
      <c r="F27" s="36" t="n"/>
    </row>
    <row r="28">
      <c r="A28" s="36" t="n"/>
      <c r="B28" s="36" t="n"/>
      <c r="C28" s="36" t="n"/>
      <c r="D28" s="36" t="n"/>
      <c r="E28" s="36" t="n"/>
      <c r="F28" s="36" t="n"/>
    </row>
    <row r="29">
      <c r="A29" s="36" t="n"/>
      <c r="B29" s="36" t="n"/>
      <c r="C29" s="36" t="n"/>
      <c r="D29" s="36" t="n"/>
      <c r="E29" s="36" t="n"/>
      <c r="F29" s="36" t="n"/>
    </row>
    <row r="30">
      <c r="A30" s="36" t="n"/>
      <c r="B30" s="36" t="n"/>
      <c r="C30" s="36" t="n"/>
      <c r="D30" s="36" t="n"/>
      <c r="E30" s="36" t="n"/>
      <c r="F30" s="36" t="n"/>
    </row>
    <row r="31">
      <c r="A31" s="36" t="n"/>
      <c r="B31" s="36" t="n"/>
      <c r="C31" s="36" t="n"/>
      <c r="D31" s="36" t="n"/>
      <c r="E31" s="36" t="n"/>
      <c r="F31" s="36" t="n"/>
    </row>
    <row r="32">
      <c r="A32" s="36" t="n"/>
      <c r="B32" s="36" t="n"/>
      <c r="C32" s="36" t="n"/>
      <c r="D32" s="36" t="n"/>
      <c r="E32" s="36" t="n"/>
      <c r="F32" s="36" t="n"/>
    </row>
    <row r="33">
      <c r="A33" s="36" t="n"/>
      <c r="B33" s="36" t="n"/>
      <c r="C33" s="36" t="n"/>
      <c r="D33" s="36" t="n"/>
      <c r="E33" s="36" t="n"/>
      <c r="F33" s="36" t="n"/>
    </row>
    <row r="34">
      <c r="A34" s="36" t="n"/>
      <c r="B34" s="36" t="n"/>
      <c r="C34" s="36" t="n"/>
      <c r="D34" s="36" t="n"/>
      <c r="E34" s="36" t="n"/>
      <c r="F34" s="36" t="n"/>
    </row>
    <row r="35">
      <c r="A35" s="36" t="n"/>
      <c r="B35" s="36" t="n"/>
      <c r="C35" s="36" t="n"/>
      <c r="D35" s="36" t="n"/>
      <c r="E35" s="36" t="n"/>
      <c r="F35" s="36" t="n"/>
    </row>
    <row r="36">
      <c r="A36" s="36" t="n"/>
      <c r="B36" s="36" t="n"/>
      <c r="C36" s="36" t="n"/>
      <c r="D36" s="36" t="n"/>
      <c r="E36" s="36" t="n"/>
      <c r="F36" s="36" t="n"/>
    </row>
    <row r="37">
      <c r="A37" s="36" t="n"/>
      <c r="B37" s="36" t="n"/>
      <c r="C37" s="36" t="n"/>
      <c r="D37" s="36" t="n"/>
      <c r="E37" s="36" t="n"/>
      <c r="F37" s="36" t="n"/>
    </row>
    <row r="38">
      <c r="A38" s="36" t="n"/>
      <c r="B38" s="36" t="n"/>
      <c r="C38" s="36" t="n"/>
      <c r="D38" s="36" t="n"/>
      <c r="E38" s="36" t="n"/>
      <c r="F38" s="36" t="n"/>
    </row>
    <row r="39">
      <c r="A39" s="36" t="n"/>
      <c r="B39" s="36" t="n"/>
      <c r="C39" s="36" t="n"/>
      <c r="D39" s="36" t="n"/>
      <c r="E39" s="36" t="n"/>
      <c r="F39" s="36" t="n"/>
    </row>
  </sheetData>
  <mergeCells count="1">
    <mergeCell ref="A1:F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42" t="inlineStr">
        <is>
          <t>Area</t>
        </is>
      </c>
      <c r="B1" s="42" t="inlineStr">
        <is>
          <t>Perubahan V5</t>
        </is>
      </c>
    </row>
    <row r="2">
      <c r="A2" s="36" t="inlineStr">
        <is>
          <t>Formula/Control</t>
        </is>
      </c>
      <c r="B2" s="36" t="inlineStr">
        <is>
          <t>README ditambah catatan sign convention life insurance, CSM, ECL, validasi, dan scorecard V5.</t>
        </is>
      </c>
    </row>
    <row r="3">
      <c r="A3" s="36" t="inlineStr">
        <is>
          <t>Formula/Control</t>
        </is>
      </c>
      <c r="B3" s="36" t="inlineStr">
        <is>
          <t>Raw_IFRS17 notes diperjelas untuk sign convention expense, reinsurance net result, dan CSM release.</t>
        </is>
      </c>
    </row>
    <row r="4">
      <c r="A4" s="36" t="inlineStr">
        <is>
          <t>Formula/Control</t>
        </is>
      </c>
      <c r="B4" s="36" t="inlineStr">
        <is>
          <t>Input_IFRS17_Detail: service result, result after finance, closing CSM, CSM/equity, dan derived claim ratio diperbaiki.</t>
        </is>
      </c>
    </row>
    <row r="5">
      <c r="A5" s="36" t="inlineStr">
        <is>
          <t>Formula/Control</t>
        </is>
      </c>
      <c r="B5" s="36" t="inlineStr">
        <is>
          <t>Input_IFRS9_Detail: ECL base direkonsiliasi ke Stage 1+2+3 dan denominator guard diperkuat.</t>
        </is>
      </c>
    </row>
    <row r="6">
      <c r="A6" s="36" t="inlineStr">
        <is>
          <t>Formula/Control</t>
        </is>
      </c>
      <c r="B6" s="36" t="inlineStr">
        <is>
          <t>Input_PL_OCI ditambah catatan bridge ke IFRS17 service result.</t>
        </is>
      </c>
    </row>
    <row r="7">
      <c r="A7" s="36" t="inlineStr">
        <is>
          <t>Formula/Control</t>
        </is>
      </c>
      <c r="B7" s="36" t="inlineStr">
        <is>
          <t>Rasio: status diperbaiki agar blank/no denominator menjadi NO DATA.</t>
        </is>
      </c>
    </row>
    <row r="8">
      <c r="A8" s="36" t="inlineStr">
        <is>
          <t>Formula/Control</t>
        </is>
      </c>
      <c r="B8" s="36" t="inlineStr">
        <is>
          <t>Scorecard: no data tidak mendapat poin dan early warning hanya untuk metric yang gagal.</t>
        </is>
      </c>
    </row>
    <row r="9">
      <c r="A9" s="36" t="inlineStr">
        <is>
          <t>Formula/Control</t>
        </is>
      </c>
      <c r="B9" s="36" t="inlineStr">
        <is>
          <t>Validasi: all-zero/blank data menjadi NO DATA; IFRS9 ECL, IFRS17 service result, dan closing CSM check diperbaiki.</t>
        </is>
      </c>
    </row>
    <row r="10">
      <c r="A10" s="36" t="inlineStr">
        <is>
          <t>Formula/Control</t>
        </is>
      </c>
      <c r="B10" s="36" t="inlineStr">
        <is>
          <t>IFRS17_Analysis: interpretasi CSM dan claim ratio diberi NO DATA guard.</t>
        </is>
      </c>
    </row>
    <row r="11">
      <c r="A11" s="36" t="inlineStr">
        <is>
          <t>Catatan</t>
        </is>
      </c>
      <c r="B11" s="36" t="inlineStr">
        <is>
          <t>Versi V5 memakai convention: revenue positif; claims/benefits, acquisition, other expense, onerous losses positif sebagai beban dan dikurangkan; reinsurance net result positif bila income/recovery dan negatif bila expense.</t>
        </is>
      </c>
    </row>
    <row r="12">
      <c r="A12" s="36" t="inlineStr">
        <is>
          <t>Catatan</t>
        </is>
      </c>
      <c r="B12" s="36" t="inlineStr">
        <is>
          <t>Review judgement mapping tetap diperlukan terhadap audited financial statements, terutama produk jiwa yang menggunakan PAA/GMM/VFA dan treatment kontrak investasi.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Kurnia Yuniakhir</dc:creator>
  <dcterms:created xsi:type="dcterms:W3CDTF">2026-06-04T04:43:31.6615947Z</dcterms:created>
  <dcterms:modified xsi:type="dcterms:W3CDTF">2026-06-04T04:43:31.6615947Z</dcterms:modified>
  <lastModifiedBy>Kurnia Yuniakhir</lastModifiedBy>
</coreProperties>
</file>